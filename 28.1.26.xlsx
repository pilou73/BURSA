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e\Downloads\BURSA\"/>
    </mc:Choice>
  </mc:AlternateContent>
  <xr:revisionPtr revIDLastSave="0" documentId="8_{72D2E6FA-EA79-4493-9DD9-97BA023A9BF8}" xr6:coauthVersionLast="47" xr6:coauthVersionMax="47" xr10:uidLastSave="{00000000-0000-0000-0000-000000000000}"/>
  <bookViews>
    <workbookView xWindow="-120" yWindow="-120" windowWidth="29040" windowHeight="15720" xr2:uid="{DAE78A9D-75AD-4346-A0F2-547E1556FA4B}"/>
  </bookViews>
  <sheets>
    <sheet name="התיק העדכני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23" i="1" l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BO19" i="1"/>
  <c r="BN19" i="1"/>
  <c r="D19" i="1"/>
  <c r="C19" i="1"/>
  <c r="B19" i="1"/>
  <c r="BT18" i="1"/>
  <c r="BQ18" i="1"/>
  <c r="BO18" i="1"/>
  <c r="BN18" i="1"/>
  <c r="BP18" i="1" s="1"/>
  <c r="D18" i="1"/>
  <c r="BT17" i="1"/>
  <c r="BQ17" i="1"/>
  <c r="BO17" i="1"/>
  <c r="BN17" i="1"/>
  <c r="BP17" i="1" s="1"/>
  <c r="D17" i="1"/>
  <c r="BT16" i="1"/>
  <c r="BQ16" i="1"/>
  <c r="BO16" i="1"/>
  <c r="BN16" i="1"/>
  <c r="BP16" i="1" s="1"/>
  <c r="D16" i="1"/>
  <c r="BT15" i="1"/>
  <c r="BQ15" i="1"/>
  <c r="BO15" i="1"/>
  <c r="BN15" i="1"/>
  <c r="BP15" i="1" s="1"/>
  <c r="D15" i="1"/>
  <c r="BT14" i="1"/>
  <c r="BQ14" i="1"/>
  <c r="BO14" i="1"/>
  <c r="BN14" i="1"/>
  <c r="BP14" i="1" s="1"/>
  <c r="D14" i="1"/>
  <c r="BT13" i="1"/>
  <c r="BN13" i="1" s="1"/>
  <c r="BO13" i="1"/>
  <c r="D13" i="1"/>
  <c r="BT12" i="1"/>
  <c r="BO12" i="1"/>
  <c r="BN12" i="1"/>
  <c r="D12" i="1"/>
  <c r="BT11" i="1"/>
  <c r="BN11" i="1" s="1"/>
  <c r="BO11" i="1"/>
  <c r="BP11" i="1" s="1"/>
  <c r="D11" i="1"/>
  <c r="BT10" i="1"/>
  <c r="BQ10" i="1"/>
  <c r="BO10" i="1"/>
  <c r="BP10" i="1" s="1"/>
  <c r="BN10" i="1"/>
  <c r="D10" i="1"/>
  <c r="BT9" i="1"/>
  <c r="BP9" i="1"/>
  <c r="BO9" i="1"/>
  <c r="BN9" i="1"/>
  <c r="D9" i="1"/>
  <c r="BT8" i="1"/>
  <c r="BN8" i="1" s="1"/>
  <c r="BO8" i="1"/>
  <c r="BP8" i="1" s="1"/>
  <c r="D8" i="1"/>
  <c r="BO7" i="1"/>
  <c r="BN7" i="1"/>
  <c r="D7" i="1"/>
  <c r="BT6" i="1"/>
  <c r="BT24" i="1" s="1"/>
  <c r="BQ6" i="1"/>
  <c r="BP6" i="1"/>
  <c r="BO6" i="1"/>
  <c r="BN6" i="1"/>
  <c r="D6" i="1"/>
  <c r="BO5" i="1"/>
  <c r="BN5" i="1"/>
  <c r="D5" i="1"/>
  <c r="BT4" i="1"/>
  <c r="BQ4" i="1"/>
  <c r="BO4" i="1"/>
  <c r="BP4" i="1" s="1"/>
  <c r="BN4" i="1"/>
  <c r="D4" i="1"/>
  <c r="BT3" i="1"/>
  <c r="BQ3" i="1"/>
  <c r="BO3" i="1"/>
  <c r="BP3" i="1" s="1"/>
  <c r="BN3" i="1"/>
  <c r="D3" i="1"/>
  <c r="BO2" i="1"/>
  <c r="BO24" i="1" s="1"/>
  <c r="BN2" i="1"/>
  <c r="BN24" i="1" s="1"/>
  <c r="D2" i="1"/>
  <c r="C1" i="1"/>
  <c r="B1" i="1"/>
  <c r="BQ24" i="1" l="1"/>
  <c r="BP24" i="1"/>
</calcChain>
</file>

<file path=xl/sharedStrings.xml><?xml version="1.0" encoding="utf-8"?>
<sst xmlns="http://schemas.openxmlformats.org/spreadsheetml/2006/main" count="87" uniqueCount="86">
  <si>
    <t>Code TASE</t>
  </si>
  <si>
    <t>Nom</t>
  </si>
  <si>
    <t>Date</t>
  </si>
  <si>
    <t>כמות מניות</t>
  </si>
  <si>
    <t>מחיר קנייה</t>
  </si>
  <si>
    <t>מחיר היום</t>
  </si>
  <si>
    <t>מחיר 27/01/2026</t>
  </si>
  <si>
    <t>מחיר 26/01/2026</t>
  </si>
  <si>
    <t>מחיר 23/01/2026</t>
  </si>
  <si>
    <t>מחיר 22/01/2026</t>
  </si>
  <si>
    <t>מחיר 21/01/2026</t>
  </si>
  <si>
    <t>מחיר 20/01/2026</t>
  </si>
  <si>
    <t>מחיר 19/01/2026</t>
  </si>
  <si>
    <t>מחיר 14/01/2026</t>
  </si>
  <si>
    <t>מחיר 13/01/2026</t>
  </si>
  <si>
    <t>מחיר 12/01/2026</t>
  </si>
  <si>
    <t>מחיר 08/01/2026</t>
  </si>
  <si>
    <t>מחיר 07/01/2026</t>
  </si>
  <si>
    <t>מחיר 06/01/2026</t>
  </si>
  <si>
    <t>מחיר 05/01/2026</t>
  </si>
  <si>
    <t>מחיר 01/01/2026</t>
  </si>
  <si>
    <t>מחיר 31/12/2025</t>
  </si>
  <si>
    <t>מחיר 30/12/2025</t>
  </si>
  <si>
    <t>מחיר 29/12/2025</t>
  </si>
  <si>
    <t>מחיר 28/12/2025</t>
  </si>
  <si>
    <t>מחיר 25/12/2025</t>
  </si>
  <si>
    <t>מחיר 24/12/2025</t>
  </si>
  <si>
    <t>מחיר 23/12/2025</t>
  </si>
  <si>
    <t>מחיר 18/12/2025</t>
  </si>
  <si>
    <t>מחיר 17/12/2025</t>
  </si>
  <si>
    <t>מחיר 16/12/2025</t>
  </si>
  <si>
    <t>מחיר 15/12/2025</t>
  </si>
  <si>
    <t>מחיר 14/12/2025</t>
  </si>
  <si>
    <t>מחיר 11/12/2025</t>
  </si>
  <si>
    <t>מחיר 10/12/2025</t>
  </si>
  <si>
    <t>מחיר 09/12/2025</t>
  </si>
  <si>
    <t>מחיר 08/12/2025</t>
  </si>
  <si>
    <t>מחיר 07/12/2025</t>
  </si>
  <si>
    <t>מחיר 04/12/2025</t>
  </si>
  <si>
    <t>מחיר 03/12/2025</t>
  </si>
  <si>
    <t>מחיר 02/12/2025</t>
  </si>
  <si>
    <t>מחיר 01/12/2025</t>
  </si>
  <si>
    <t>מחיר 30/11/2025</t>
  </si>
  <si>
    <t>מחיר 27/11/2025</t>
  </si>
  <si>
    <t>מחיר 26/11/2025</t>
  </si>
  <si>
    <t>מחיר 25/11/2025</t>
  </si>
  <si>
    <t>מחיר 24/11/2025</t>
  </si>
  <si>
    <t>מחיר 23/11/2025</t>
  </si>
  <si>
    <t>מחיר 20/11/2025</t>
  </si>
  <si>
    <t>מחיר 19/11/2025</t>
  </si>
  <si>
    <t>מחיר 18/11/2025</t>
  </si>
  <si>
    <t>מחיר 17/11/2025</t>
  </si>
  <si>
    <t>מחיר 16/11/2025</t>
  </si>
  <si>
    <t>מחיר 13/11/2025</t>
  </si>
  <si>
    <t>מחיר 12/11/2025</t>
  </si>
  <si>
    <t>מחיר 11/11/2025</t>
  </si>
  <si>
    <t>מחיר 10/11/2025</t>
  </si>
  <si>
    <t>מחיר 05/11/2025</t>
  </si>
  <si>
    <t>מחיר 04/11/2025</t>
  </si>
  <si>
    <t>מחיר 03/11/2025</t>
  </si>
  <si>
    <t>מחיר 02/11/2025</t>
  </si>
  <si>
    <t>סך ההשקעה</t>
  </si>
  <si>
    <t>ערך כולל יומי</t>
  </si>
  <si>
    <t>רווח/הפסד</t>
  </si>
  <si>
    <t>%</t>
  </si>
  <si>
    <t>מימוש</t>
  </si>
  <si>
    <t>שער מכירה</t>
  </si>
  <si>
    <t>סך מימושים</t>
  </si>
  <si>
    <t>אימקו</t>
  </si>
  <si>
    <t>אקסון ויז'ן</t>
  </si>
  <si>
    <t>ארית תעשיות</t>
  </si>
  <si>
    <t>ג'ין טכנולוגיות</t>
  </si>
  <si>
    <t>דוראל אנרגיה</t>
  </si>
  <si>
    <t>הראל סל ת"א 125</t>
  </si>
  <si>
    <t>טאואר</t>
  </si>
  <si>
    <t>טבע</t>
  </si>
  <si>
    <t>מור השקעות</t>
  </si>
  <si>
    <t>משק אנרגיה</t>
  </si>
  <si>
    <t>נקסט ויז'ן</t>
  </si>
  <si>
    <t>עין השלישית</t>
  </si>
  <si>
    <t>פועלים</t>
  </si>
  <si>
    <t>ISHARES MSCI GLOBAL SILVER M</t>
  </si>
  <si>
    <t>MTF מחקה אינדקס תעשיה ישראל</t>
  </si>
  <si>
    <t>MTF מחקה אינדקס Global Metals &amp; Minerals producers מנוטרלת דולר</t>
  </si>
  <si>
    <t>MTF סל אינדקס אנרגיה מתחדשת</t>
  </si>
  <si>
    <t>קסם S&amp;P 500 ETF מנוטרלת מט"ח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</si>
</sst>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.00"/>
  </numFmts>
  <fonts count="7" x14ac:knownFonts="1">
    <font>
      <sz val="11"/>
      <color theme="1"/>
      <name val="Calibri"/>
      <family val="2"/>
      <charset val="177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3B3B3B"/>
      <name val="Almoni-dl"/>
    </font>
    <font>
      <sz val="13"/>
      <color theme="1"/>
      <name val="Heebo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A85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2" fontId="3" fillId="0" borderId="1" xfId="0" applyNumberFormat="1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164" fontId="0" fillId="0" borderId="0" xfId="0" applyNumberFormat="1"/>
    <xf numFmtId="0" fontId="3" fillId="0" borderId="1" xfId="0" applyFont="1" applyBorder="1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3" fillId="0" borderId="5" xfId="0" applyNumberFormat="1" applyFont="1" applyBorder="1" applyAlignment="1">
      <alignment horizontal="right" wrapText="1"/>
    </xf>
    <xf numFmtId="164" fontId="6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ilippe\Downloads\BURSA\&#1514;&#1497;&#1511;_&#1492;&#1513;&#1511;&#1506;&#1492;.xlsx" TargetMode="External"/><Relationship Id="rId1" Type="http://schemas.openxmlformats.org/officeDocument/2006/relationships/externalLinkPath" Target="&#1514;&#1497;&#1511;_&#1492;&#1513;&#1511;&#1506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תיק העדכני"/>
      <sheetName val="GEMINI"/>
      <sheetName val="CHATGPT"/>
      <sheetName val="PERPLIXITY"/>
      <sheetName val="DEEPSEEK"/>
    </sheetNames>
    <sheetDataSet>
      <sheetData sheetId="0"/>
      <sheetData sheetId="1">
        <row r="1">
          <cell r="L1" t="str">
            <v>מחיר מכירה מינימלי (Stop-Loss)</v>
          </cell>
          <cell r="M1" t="str">
            <v>מחיר מכירה מקסימלי (Take-Profit)</v>
          </cell>
        </row>
        <row r="2">
          <cell r="L2">
            <v>10550</v>
          </cell>
          <cell r="M2">
            <v>12350</v>
          </cell>
        </row>
        <row r="3">
          <cell r="L3">
            <v>1098</v>
          </cell>
          <cell r="M3">
            <v>1368.25</v>
          </cell>
        </row>
        <row r="4">
          <cell r="L4">
            <v>6030.25</v>
          </cell>
          <cell r="M4">
            <v>6975.25</v>
          </cell>
        </row>
        <row r="5">
          <cell r="L5">
            <v>607.75</v>
          </cell>
          <cell r="M5">
            <v>768</v>
          </cell>
        </row>
        <row r="6">
          <cell r="L6">
            <v>3560</v>
          </cell>
          <cell r="M6">
            <v>4332.75</v>
          </cell>
        </row>
        <row r="7">
          <cell r="L7">
            <v>3663.25</v>
          </cell>
          <cell r="M7">
            <v>4213.25</v>
          </cell>
        </row>
        <row r="8">
          <cell r="L8">
            <v>37884</v>
          </cell>
          <cell r="M8">
            <v>43218.75</v>
          </cell>
        </row>
        <row r="9">
          <cell r="L9">
            <v>9481.75</v>
          </cell>
          <cell r="M9">
            <v>11139.75</v>
          </cell>
        </row>
        <row r="10">
          <cell r="L10">
            <v>4968.75</v>
          </cell>
          <cell r="M10">
            <v>6091.5</v>
          </cell>
        </row>
        <row r="11">
          <cell r="L11">
            <v>940.75</v>
          </cell>
          <cell r="M11">
            <v>1146.25</v>
          </cell>
        </row>
        <row r="12">
          <cell r="L12">
            <v>23843.25</v>
          </cell>
          <cell r="M12">
            <v>28496.25</v>
          </cell>
        </row>
        <row r="13">
          <cell r="L13">
            <v>890</v>
          </cell>
          <cell r="M13">
            <v>1125</v>
          </cell>
        </row>
        <row r="14">
          <cell r="L14">
            <v>7315</v>
          </cell>
          <cell r="M14">
            <v>8391</v>
          </cell>
        </row>
        <row r="15">
          <cell r="L15">
            <v>12492.25</v>
          </cell>
          <cell r="M15">
            <v>15132.75</v>
          </cell>
        </row>
        <row r="16">
          <cell r="L16">
            <v>198.5</v>
          </cell>
          <cell r="M16">
            <v>239.75</v>
          </cell>
        </row>
        <row r="17">
          <cell r="L17">
            <v>170</v>
          </cell>
          <cell r="M17">
            <v>204</v>
          </cell>
        </row>
        <row r="18">
          <cell r="L18">
            <v>1608.75</v>
          </cell>
          <cell r="M18">
            <v>1928.25</v>
          </cell>
        </row>
        <row r="19">
          <cell r="L19">
            <v>0</v>
          </cell>
          <cell r="M19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E277-7D89-45E2-9E34-60C059059207}">
  <dimension ref="A1:BT25"/>
  <sheetViews>
    <sheetView tabSelected="1" topLeftCell="A11" zoomScale="115" zoomScaleNormal="115" workbookViewId="0">
      <selection activeCell="BN25" sqref="BN25"/>
    </sheetView>
  </sheetViews>
  <sheetFormatPr defaultRowHeight="15" x14ac:dyDescent="0.25"/>
  <cols>
    <col min="1" max="5" width="17.5703125" customWidth="1"/>
    <col min="6" max="6" width="13.28515625" customWidth="1"/>
    <col min="7" max="7" width="11.5703125" style="16" bestFit="1" customWidth="1"/>
    <col min="8" max="55" width="14.85546875" customWidth="1"/>
    <col min="56" max="65" width="12.7109375" bestFit="1" customWidth="1"/>
    <col min="66" max="66" width="13" bestFit="1" customWidth="1"/>
    <col min="67" max="67" width="13.140625" bestFit="1" customWidth="1"/>
    <col min="68" max="68" width="11" bestFit="1" customWidth="1"/>
    <col min="69" max="69" width="7.140625" bestFit="1" customWidth="1"/>
    <col min="72" max="72" width="11.5703125" customWidth="1"/>
  </cols>
  <sheetData>
    <row r="1" spans="1:72" ht="45" customHeight="1" thickBot="1" x14ac:dyDescent="0.3">
      <c r="A1" s="1" t="s">
        <v>0</v>
      </c>
      <c r="B1" s="2" t="str">
        <f>[1]GEMINI!L1</f>
        <v>מחיר מכירה מינימלי (Stop-Loss)</v>
      </c>
      <c r="C1" s="2" t="str">
        <f>[1]GEMINI!M1</f>
        <v>מחיר מכירה מקסימלי (Take-Profit)</v>
      </c>
      <c r="D1" s="1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3" t="s">
        <v>65</v>
      </c>
      <c r="BS1" s="3" t="s">
        <v>66</v>
      </c>
      <c r="BT1" s="3" t="s">
        <v>67</v>
      </c>
    </row>
    <row r="2" spans="1:72" ht="45" customHeight="1" thickBot="1" x14ac:dyDescent="0.3">
      <c r="A2" s="4">
        <v>282012</v>
      </c>
      <c r="B2" s="2">
        <v>10550</v>
      </c>
      <c r="C2" s="2">
        <v>12350</v>
      </c>
      <c r="D2" s="1" t="str">
        <f>IF(I2&lt;[1]GEMINI!L2,"למכור בהפסד",IF(I2&gt;[1]GEMINI!M2,"למכור ברווח","לשמור"))</f>
        <v>לשמור</v>
      </c>
      <c r="E2" s="5" t="s">
        <v>68</v>
      </c>
      <c r="F2" s="6">
        <v>46042</v>
      </c>
      <c r="G2" s="7">
        <v>7</v>
      </c>
      <c r="H2" s="8">
        <v>11000</v>
      </c>
      <c r="I2" s="8">
        <v>11840</v>
      </c>
      <c r="J2" s="8">
        <v>11840</v>
      </c>
      <c r="K2" s="8">
        <v>11400</v>
      </c>
      <c r="L2" s="8">
        <v>11360</v>
      </c>
      <c r="M2" s="8">
        <v>11000</v>
      </c>
      <c r="N2" s="8">
        <v>10700</v>
      </c>
      <c r="O2" s="8">
        <v>10400</v>
      </c>
      <c r="P2" s="8">
        <v>11230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9"/>
      <c r="BG2" s="1"/>
      <c r="BH2" s="1"/>
      <c r="BI2" s="9"/>
      <c r="BJ2" s="1"/>
      <c r="BK2" s="1"/>
      <c r="BL2" s="1"/>
      <c r="BM2" s="1"/>
      <c r="BN2" s="8">
        <f>(G2*H2)/100-BT2</f>
        <v>770</v>
      </c>
      <c r="BO2" s="8">
        <f>(G2*H2)/100</f>
        <v>770</v>
      </c>
      <c r="BP2" s="1"/>
      <c r="BQ2" s="1"/>
      <c r="BR2" s="10"/>
      <c r="BS2" s="10"/>
      <c r="BT2" s="10"/>
    </row>
    <row r="3" spans="1:72" ht="45" customHeight="1" thickBot="1" x14ac:dyDescent="0.3">
      <c r="A3" s="4">
        <v>1227552</v>
      </c>
      <c r="B3" s="2">
        <v>1098</v>
      </c>
      <c r="C3" s="2">
        <v>1368</v>
      </c>
      <c r="D3" s="1" t="str">
        <f>IF(I3&lt;[1]GEMINI!L3,"למכור בהפסד",IF(I3&gt;[1]GEMINI!M3,"למכור ברווח","לשמור"))</f>
        <v>למכור ברווח</v>
      </c>
      <c r="E3" s="5" t="s">
        <v>69</v>
      </c>
      <c r="F3" s="6">
        <v>46029</v>
      </c>
      <c r="G3" s="7">
        <v>68</v>
      </c>
      <c r="H3" s="8">
        <v>1153.6300000000001</v>
      </c>
      <c r="I3" s="8">
        <v>1500</v>
      </c>
      <c r="J3" s="8">
        <v>1500</v>
      </c>
      <c r="K3" s="8">
        <v>1424</v>
      </c>
      <c r="L3" s="8">
        <v>1348</v>
      </c>
      <c r="M3" s="8">
        <v>1373</v>
      </c>
      <c r="N3" s="8">
        <v>1331</v>
      </c>
      <c r="O3" s="8">
        <v>1386</v>
      </c>
      <c r="P3" s="8">
        <v>1342</v>
      </c>
      <c r="Q3" s="8">
        <v>1250</v>
      </c>
      <c r="R3" s="8">
        <v>1389</v>
      </c>
      <c r="S3" s="8">
        <v>1389</v>
      </c>
      <c r="T3" s="8">
        <v>1367</v>
      </c>
      <c r="U3" s="8">
        <v>1026</v>
      </c>
      <c r="V3" s="8">
        <v>949.1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12"/>
      <c r="BG3" s="8"/>
      <c r="BH3" s="8"/>
      <c r="BI3" s="12"/>
      <c r="BJ3" s="8"/>
      <c r="BK3" s="8"/>
      <c r="BL3" s="8"/>
      <c r="BM3" s="8"/>
      <c r="BN3" s="8">
        <f>(G3*H3)/100-BT3</f>
        <v>784.46840000000009</v>
      </c>
      <c r="BO3" s="8">
        <f>(G3*H3)/100</f>
        <v>784.46840000000009</v>
      </c>
      <c r="BP3" s="8">
        <f>(BO3-BN3)</f>
        <v>0</v>
      </c>
      <c r="BQ3" s="8">
        <f>((BE3-H3)/H3)*100</f>
        <v>-100</v>
      </c>
      <c r="BT3" s="13">
        <f>(BR3*BS3-BR3*H3)/100</f>
        <v>0</v>
      </c>
    </row>
    <row r="4" spans="1:72" ht="45" customHeight="1" thickBot="1" x14ac:dyDescent="0.3">
      <c r="A4" s="4">
        <v>587014</v>
      </c>
      <c r="B4" s="2">
        <v>6030</v>
      </c>
      <c r="C4" s="2">
        <v>6975</v>
      </c>
      <c r="D4" s="1" t="str">
        <f>IF(I4&lt;[1]GEMINI!L4,"למכור בהפסד",IF(I4&gt;[1]GEMINI!M4,"למכור ברווח","לשמור"))</f>
        <v>למכור ברווח</v>
      </c>
      <c r="E4" s="5" t="s">
        <v>70</v>
      </c>
      <c r="F4" s="6">
        <v>46029</v>
      </c>
      <c r="G4" s="7">
        <v>20</v>
      </c>
      <c r="H4" s="8">
        <v>5925</v>
      </c>
      <c r="I4" s="8">
        <v>7120</v>
      </c>
      <c r="J4" s="8">
        <v>7120</v>
      </c>
      <c r="K4" s="8">
        <v>7048</v>
      </c>
      <c r="L4" s="8">
        <v>6979</v>
      </c>
      <c r="M4" s="8">
        <v>6680</v>
      </c>
      <c r="N4" s="8">
        <v>6111</v>
      </c>
      <c r="O4" s="8">
        <v>6050</v>
      </c>
      <c r="P4" s="8">
        <v>6169</v>
      </c>
      <c r="Q4" s="8">
        <v>6300</v>
      </c>
      <c r="R4" s="8">
        <v>6335</v>
      </c>
      <c r="S4" s="8">
        <v>6335</v>
      </c>
      <c r="T4" s="8">
        <v>6444</v>
      </c>
      <c r="U4" s="8">
        <v>5749</v>
      </c>
      <c r="V4" s="8">
        <v>5749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12"/>
      <c r="BG4" s="8"/>
      <c r="BH4" s="8"/>
      <c r="BI4" s="12"/>
      <c r="BJ4" s="8"/>
      <c r="BK4" s="8"/>
      <c r="BL4" s="8"/>
      <c r="BM4" s="8"/>
      <c r="BN4" s="8">
        <f>(G4*H4)/100-BT4</f>
        <v>1185</v>
      </c>
      <c r="BO4" s="8">
        <f>(G4*H4)/100</f>
        <v>1185</v>
      </c>
      <c r="BP4" s="8">
        <f>(BO4-BN4)</f>
        <v>0</v>
      </c>
      <c r="BQ4" s="8">
        <f>((BE4-H4)/H4)*100</f>
        <v>-100</v>
      </c>
      <c r="BT4" s="13">
        <f>(BR4*BS4-BR4*H4)/100</f>
        <v>0</v>
      </c>
    </row>
    <row r="5" spans="1:72" ht="45" customHeight="1" thickBot="1" x14ac:dyDescent="0.3">
      <c r="A5" s="4">
        <v>1099787</v>
      </c>
      <c r="B5" s="2">
        <v>608</v>
      </c>
      <c r="C5" s="2">
        <v>768</v>
      </c>
      <c r="D5" s="1" t="str">
        <f>IF(I5&lt;[1]GEMINI!L5,"למכור בהפסד",IF(I5&gt;[1]GEMINI!M5,"למכור ברווח","לשמור"))</f>
        <v>למכור בהפסד</v>
      </c>
      <c r="E5" s="5" t="s">
        <v>71</v>
      </c>
      <c r="F5" s="6">
        <v>46045</v>
      </c>
      <c r="G5" s="7">
        <v>158</v>
      </c>
      <c r="H5" s="8">
        <v>617.53</v>
      </c>
      <c r="I5" s="8">
        <v>575.70000000000005</v>
      </c>
      <c r="J5" s="8">
        <v>575.70000000000005</v>
      </c>
      <c r="K5" s="8">
        <v>612.6</v>
      </c>
      <c r="L5" s="8">
        <v>638.29999999999995</v>
      </c>
      <c r="M5" s="8">
        <v>630.29999999999995</v>
      </c>
      <c r="N5" s="8">
        <v>626</v>
      </c>
      <c r="O5" s="8">
        <v>595.4</v>
      </c>
      <c r="P5" s="8">
        <v>667.1</v>
      </c>
      <c r="Q5" s="8">
        <v>651</v>
      </c>
      <c r="R5" s="8">
        <v>641.1</v>
      </c>
      <c r="S5" s="8">
        <v>641.1</v>
      </c>
      <c r="T5" s="8">
        <v>607.1</v>
      </c>
      <c r="U5" s="8">
        <v>583</v>
      </c>
      <c r="V5" s="8">
        <v>581.6</v>
      </c>
      <c r="W5" s="8">
        <v>578.70000000000005</v>
      </c>
      <c r="X5" s="8">
        <v>590</v>
      </c>
      <c r="Y5" s="8">
        <v>554.70000000000005</v>
      </c>
      <c r="Z5" s="8">
        <v>511.8</v>
      </c>
      <c r="AA5" s="8">
        <v>487</v>
      </c>
      <c r="AB5" s="8">
        <v>478.8</v>
      </c>
      <c r="AC5" s="8">
        <v>485.5</v>
      </c>
      <c r="AD5" s="8">
        <v>453.4</v>
      </c>
      <c r="AE5" s="8">
        <v>426.1</v>
      </c>
      <c r="AF5" s="8">
        <v>423.2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12"/>
      <c r="BG5" s="8"/>
      <c r="BH5" s="8"/>
      <c r="BI5" s="12"/>
      <c r="BJ5" s="8"/>
      <c r="BK5" s="8"/>
      <c r="BL5" s="8"/>
      <c r="BM5" s="8"/>
      <c r="BN5" s="8">
        <f t="shared" ref="BN5:BN19" si="0">(G5*H5)/100-BT5</f>
        <v>975.6973999999999</v>
      </c>
      <c r="BO5" s="8">
        <f>(G5*H5)/100</f>
        <v>975.6973999999999</v>
      </c>
      <c r="BP5" s="8"/>
      <c r="BQ5" s="8"/>
      <c r="BT5" s="13"/>
    </row>
    <row r="6" spans="1:72" ht="45" customHeight="1" thickBot="1" x14ac:dyDescent="0.3">
      <c r="A6" s="14">
        <v>1166768</v>
      </c>
      <c r="B6" s="2">
        <v>3560</v>
      </c>
      <c r="C6" s="2">
        <v>4332</v>
      </c>
      <c r="D6" s="1" t="str">
        <f>IF(I6&lt;[1]GEMINI!L6,"למכור בהפסד",IF(I6&gt;[1]GEMINI!M6,"למכור ברווח","לשמור"))</f>
        <v>למכור ברווח</v>
      </c>
      <c r="E6" s="5" t="s">
        <v>72</v>
      </c>
      <c r="F6" s="6">
        <v>46028</v>
      </c>
      <c r="G6" s="7">
        <v>15</v>
      </c>
      <c r="H6" s="8">
        <v>3700</v>
      </c>
      <c r="I6" s="8">
        <v>4424</v>
      </c>
      <c r="J6" s="8">
        <v>4424</v>
      </c>
      <c r="K6" s="8">
        <v>4412</v>
      </c>
      <c r="L6" s="8">
        <v>4450</v>
      </c>
      <c r="M6" s="8">
        <v>4238</v>
      </c>
      <c r="N6" s="8">
        <v>3970</v>
      </c>
      <c r="O6" s="8">
        <v>3870</v>
      </c>
      <c r="P6" s="8">
        <v>3805</v>
      </c>
      <c r="Q6" s="8">
        <v>3667</v>
      </c>
      <c r="R6" s="8">
        <v>3582</v>
      </c>
      <c r="S6" s="8">
        <v>3582</v>
      </c>
      <c r="T6" s="8">
        <v>3570</v>
      </c>
      <c r="U6" s="8">
        <v>3619</v>
      </c>
      <c r="V6" s="8">
        <v>3650</v>
      </c>
      <c r="W6" s="8">
        <v>3720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12"/>
      <c r="BG6" s="8"/>
      <c r="BH6" s="8"/>
      <c r="BI6" s="12"/>
      <c r="BJ6" s="8"/>
      <c r="BK6" s="8"/>
      <c r="BL6" s="8"/>
      <c r="BN6" s="8">
        <f>(G6*H6)/100-BT6</f>
        <v>561.70000000000005</v>
      </c>
      <c r="BO6" s="8">
        <f>(G6*H6)/100</f>
        <v>555</v>
      </c>
      <c r="BP6" s="8">
        <f t="shared" ref="BP6" si="1">(BO6-BN6)</f>
        <v>-6.7000000000000455</v>
      </c>
      <c r="BQ6" s="8">
        <f>((BE6-H6)/H6)*100</f>
        <v>-100</v>
      </c>
      <c r="BR6">
        <v>5</v>
      </c>
      <c r="BS6">
        <v>3566</v>
      </c>
      <c r="BT6" s="13">
        <f>(BR6*BS6-BR6*H6)/100</f>
        <v>-6.7</v>
      </c>
    </row>
    <row r="7" spans="1:72" ht="45" customHeight="1" thickBot="1" x14ac:dyDescent="0.3">
      <c r="A7" s="4">
        <v>1148899</v>
      </c>
      <c r="B7" s="2">
        <v>3663</v>
      </c>
      <c r="C7" s="2">
        <v>4213</v>
      </c>
      <c r="D7" s="1" t="str">
        <f>IF(I7&lt;[1]GEMINI!L7,"למכור בהפסד",IF(I7&gt;[1]GEMINI!M7,"למכור ברווח","לשמור"))</f>
        <v>לשמור</v>
      </c>
      <c r="E7" s="5" t="s">
        <v>73</v>
      </c>
      <c r="F7" s="6">
        <v>46010</v>
      </c>
      <c r="G7" s="7">
        <v>70</v>
      </c>
      <c r="H7" s="8">
        <v>3585</v>
      </c>
      <c r="I7" s="8">
        <v>3932</v>
      </c>
      <c r="J7" s="8">
        <v>3932</v>
      </c>
      <c r="K7" s="8">
        <v>3949</v>
      </c>
      <c r="L7" s="8">
        <v>3943</v>
      </c>
      <c r="M7" s="8">
        <v>3928</v>
      </c>
      <c r="N7" s="8">
        <v>3913</v>
      </c>
      <c r="O7" s="8">
        <v>3860</v>
      </c>
      <c r="P7" s="8">
        <v>3893</v>
      </c>
      <c r="Q7" s="8">
        <v>3900</v>
      </c>
      <c r="R7" s="8">
        <v>3842</v>
      </c>
      <c r="S7" s="8">
        <v>3842</v>
      </c>
      <c r="T7" s="8">
        <v>3841</v>
      </c>
      <c r="U7" s="8">
        <v>3809</v>
      </c>
      <c r="V7" s="8">
        <v>3810</v>
      </c>
      <c r="W7" s="8">
        <v>3798</v>
      </c>
      <c r="X7" s="8">
        <v>3713</v>
      </c>
      <c r="Y7" s="8">
        <v>3657</v>
      </c>
      <c r="Z7" s="8">
        <v>3592</v>
      </c>
      <c r="AA7" s="8">
        <v>3621</v>
      </c>
      <c r="AB7" s="8">
        <v>3572</v>
      </c>
      <c r="AC7" s="8">
        <v>3580</v>
      </c>
      <c r="AD7" s="8">
        <v>3569</v>
      </c>
      <c r="AE7" s="8">
        <v>3659</v>
      </c>
      <c r="AF7" s="8">
        <v>3656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12"/>
      <c r="BG7" s="8"/>
      <c r="BH7" s="8"/>
      <c r="BI7" s="12"/>
      <c r="BJ7" s="8"/>
      <c r="BK7" s="8"/>
      <c r="BL7" s="8"/>
      <c r="BM7" s="8"/>
      <c r="BN7" s="8">
        <f t="shared" si="0"/>
        <v>2509.5</v>
      </c>
      <c r="BO7" s="8">
        <f t="shared" ref="BO7:BO19" si="2">(G7*H7)/100</f>
        <v>2509.5</v>
      </c>
      <c r="BP7" s="8"/>
      <c r="BQ7" s="8"/>
      <c r="BT7" s="13"/>
    </row>
    <row r="8" spans="1:72" ht="45" customHeight="1" thickBot="1" x14ac:dyDescent="0.3">
      <c r="A8" s="4">
        <v>1082379</v>
      </c>
      <c r="B8" s="2">
        <v>37884</v>
      </c>
      <c r="C8" s="2">
        <v>43218</v>
      </c>
      <c r="D8" s="1" t="str">
        <f>IF(I8&lt;[1]GEMINI!L8,"למכור בהפסד",IF(I8&gt;[1]GEMINI!M8,"למכור ברווח","לשמור"))</f>
        <v>לשמור</v>
      </c>
      <c r="E8" s="5" t="s">
        <v>74</v>
      </c>
      <c r="F8" s="6">
        <v>45994</v>
      </c>
      <c r="G8" s="7">
        <v>2</v>
      </c>
      <c r="H8" s="8">
        <v>37875</v>
      </c>
      <c r="I8" s="8">
        <v>40750</v>
      </c>
      <c r="J8" s="8">
        <v>40750</v>
      </c>
      <c r="K8" s="8">
        <v>40900</v>
      </c>
      <c r="L8" s="8">
        <v>40790</v>
      </c>
      <c r="M8" s="8">
        <v>40820</v>
      </c>
      <c r="N8" s="8">
        <v>41570</v>
      </c>
      <c r="O8" s="8">
        <v>42050</v>
      </c>
      <c r="P8" s="8">
        <v>39960</v>
      </c>
      <c r="Q8" s="8">
        <v>39990</v>
      </c>
      <c r="R8" s="8">
        <v>38680</v>
      </c>
      <c r="S8" s="8">
        <v>38680</v>
      </c>
      <c r="T8" s="8">
        <v>37770</v>
      </c>
      <c r="U8" s="8">
        <v>36330</v>
      </c>
      <c r="V8" s="8">
        <v>38680</v>
      </c>
      <c r="W8" s="8">
        <v>39090</v>
      </c>
      <c r="X8" s="8">
        <v>37300</v>
      </c>
      <c r="Y8" s="8">
        <v>37650</v>
      </c>
      <c r="Z8" s="8">
        <v>37300</v>
      </c>
      <c r="AA8" s="8">
        <v>39450</v>
      </c>
      <c r="AB8" s="8">
        <v>38390</v>
      </c>
      <c r="AC8" s="8">
        <v>38800</v>
      </c>
      <c r="AD8" s="8">
        <v>38510</v>
      </c>
      <c r="AE8" s="8">
        <v>38970</v>
      </c>
      <c r="AF8" s="8">
        <v>38970</v>
      </c>
      <c r="AG8" s="8">
        <v>37700</v>
      </c>
      <c r="AH8" s="8">
        <v>37700</v>
      </c>
      <c r="AI8" s="8">
        <v>37750</v>
      </c>
      <c r="AJ8" s="8">
        <v>38430</v>
      </c>
      <c r="AK8" s="8">
        <v>38250</v>
      </c>
      <c r="AL8" s="8">
        <v>40110</v>
      </c>
      <c r="AM8" s="8">
        <v>40820</v>
      </c>
      <c r="AN8" s="8">
        <v>39320</v>
      </c>
      <c r="AO8" s="8">
        <v>37800</v>
      </c>
      <c r="AP8" s="8">
        <v>36620</v>
      </c>
      <c r="AQ8" s="8">
        <v>37130</v>
      </c>
      <c r="AR8" s="8">
        <v>35850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2"/>
      <c r="BG8" s="8"/>
      <c r="BH8" s="8"/>
      <c r="BI8" s="12"/>
      <c r="BJ8" s="8"/>
      <c r="BK8" s="8"/>
      <c r="BL8" s="8"/>
      <c r="BM8" s="8"/>
      <c r="BN8" s="8">
        <f t="shared" si="0"/>
        <v>806.25</v>
      </c>
      <c r="BO8" s="8">
        <f t="shared" si="2"/>
        <v>757.5</v>
      </c>
      <c r="BP8" s="8">
        <f t="shared" ref="BP8:BP11" si="3">(BO8-BN8)</f>
        <v>-48.75</v>
      </c>
      <c r="BQ8" s="8"/>
      <c r="BR8">
        <v>3</v>
      </c>
      <c r="BS8">
        <v>36250</v>
      </c>
      <c r="BT8" s="13">
        <f>(BR8*BS8-BR8*H8)/100</f>
        <v>-48.75</v>
      </c>
    </row>
    <row r="9" spans="1:72" ht="45" customHeight="1" thickBot="1" x14ac:dyDescent="0.3">
      <c r="A9" s="4">
        <v>629014</v>
      </c>
      <c r="B9" s="2">
        <v>9481</v>
      </c>
      <c r="C9" s="2">
        <v>11140</v>
      </c>
      <c r="D9" s="1" t="str">
        <f>IF(I9&lt;[1]GEMINI!L9,"למכור בהפסד",IF(I9&gt;[1]GEMINI!M9,"למכור ברווח","לשמור"))</f>
        <v>לשמור</v>
      </c>
      <c r="E9" s="5" t="s">
        <v>75</v>
      </c>
      <c r="F9" s="6">
        <v>45998</v>
      </c>
      <c r="G9" s="7">
        <v>0</v>
      </c>
      <c r="H9" s="8">
        <v>9227</v>
      </c>
      <c r="I9" s="8">
        <v>9891</v>
      </c>
      <c r="J9" s="8">
        <v>9891</v>
      </c>
      <c r="K9" s="8">
        <v>9956</v>
      </c>
      <c r="L9" s="8">
        <v>9910</v>
      </c>
      <c r="M9" s="8">
        <v>9960</v>
      </c>
      <c r="N9" s="8">
        <v>9924</v>
      </c>
      <c r="O9" s="8">
        <v>9999</v>
      </c>
      <c r="P9" s="8">
        <v>9962</v>
      </c>
      <c r="Q9" s="8">
        <v>9979</v>
      </c>
      <c r="R9" s="8">
        <v>10130</v>
      </c>
      <c r="S9" s="8">
        <v>10130</v>
      </c>
      <c r="T9" s="8">
        <v>10400</v>
      </c>
      <c r="U9" s="8">
        <v>10320</v>
      </c>
      <c r="V9" s="8">
        <v>10300</v>
      </c>
      <c r="W9" s="8">
        <v>10310</v>
      </c>
      <c r="X9" s="8">
        <v>9672</v>
      </c>
      <c r="Y9" s="8">
        <v>9953</v>
      </c>
      <c r="Z9" s="8">
        <v>10090</v>
      </c>
      <c r="AA9" s="8">
        <v>10070</v>
      </c>
      <c r="AB9" s="8">
        <v>10030</v>
      </c>
      <c r="AC9" s="8">
        <v>10120</v>
      </c>
      <c r="AD9" s="8">
        <v>10000</v>
      </c>
      <c r="AE9" s="8">
        <v>10080</v>
      </c>
      <c r="AF9" s="8">
        <v>10030</v>
      </c>
      <c r="AG9" s="8">
        <v>9726</v>
      </c>
      <c r="AH9" s="8">
        <v>9726</v>
      </c>
      <c r="AI9" s="8">
        <v>9659</v>
      </c>
      <c r="AJ9" s="8">
        <v>9670</v>
      </c>
      <c r="AK9" s="8">
        <v>9590</v>
      </c>
      <c r="AL9" s="8">
        <v>9588</v>
      </c>
      <c r="AM9" s="8">
        <v>9400</v>
      </c>
      <c r="AN9" s="8">
        <v>9320</v>
      </c>
      <c r="AO9" s="8">
        <v>9071</v>
      </c>
      <c r="AP9" s="8">
        <v>9271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12"/>
      <c r="BG9" s="8"/>
      <c r="BH9" s="8"/>
      <c r="BI9" s="12"/>
      <c r="BJ9" s="8"/>
      <c r="BK9" s="8"/>
      <c r="BL9" s="8"/>
      <c r="BM9" s="8"/>
      <c r="BN9" s="8">
        <f t="shared" si="0"/>
        <v>-38.65</v>
      </c>
      <c r="BO9" s="8">
        <f t="shared" si="2"/>
        <v>0</v>
      </c>
      <c r="BP9" s="8">
        <f t="shared" si="3"/>
        <v>38.65</v>
      </c>
      <c r="BQ9" s="8"/>
      <c r="BR9">
        <v>5</v>
      </c>
      <c r="BS9">
        <v>10000</v>
      </c>
      <c r="BT9" s="13">
        <f>(BR9*BS9-BR9*H9)/100</f>
        <v>38.65</v>
      </c>
    </row>
    <row r="10" spans="1:72" ht="45" customHeight="1" thickBot="1" x14ac:dyDescent="0.3">
      <c r="A10" s="4">
        <v>1141464</v>
      </c>
      <c r="B10" s="2">
        <v>4968</v>
      </c>
      <c r="C10" s="2">
        <v>6091</v>
      </c>
      <c r="D10" s="1" t="str">
        <f>IF(I10&lt;[1]GEMINI!L10,"למכור בהפסד",IF(I10&gt;[1]GEMINI!M10,"למכור ברווח","לשמור"))</f>
        <v>למכור בהפסד</v>
      </c>
      <c r="E10" s="5" t="s">
        <v>76</v>
      </c>
      <c r="F10" s="6">
        <v>45974</v>
      </c>
      <c r="G10" s="7">
        <v>0</v>
      </c>
      <c r="H10" s="8">
        <v>4834</v>
      </c>
      <c r="I10" s="8">
        <v>4821</v>
      </c>
      <c r="J10" s="8">
        <v>4821</v>
      </c>
      <c r="K10" s="8">
        <v>4925</v>
      </c>
      <c r="L10" s="8">
        <v>5013</v>
      </c>
      <c r="M10" s="8">
        <v>5050</v>
      </c>
      <c r="N10" s="8">
        <v>5050</v>
      </c>
      <c r="O10" s="8">
        <v>4930</v>
      </c>
      <c r="P10" s="8">
        <v>5150</v>
      </c>
      <c r="Q10" s="8">
        <v>5283</v>
      </c>
      <c r="R10" s="8">
        <v>5253</v>
      </c>
      <c r="S10" s="8">
        <v>5253</v>
      </c>
      <c r="T10" s="8">
        <v>5400</v>
      </c>
      <c r="U10" s="8">
        <v>5522</v>
      </c>
      <c r="V10" s="8">
        <v>5690</v>
      </c>
      <c r="W10" s="8">
        <v>5749</v>
      </c>
      <c r="X10" s="8">
        <v>5840</v>
      </c>
      <c r="Y10" s="8">
        <v>5650</v>
      </c>
      <c r="Z10" s="8">
        <v>5650</v>
      </c>
      <c r="AA10" s="8">
        <v>5841</v>
      </c>
      <c r="AB10" s="8">
        <v>5758</v>
      </c>
      <c r="AC10" s="8">
        <v>5673</v>
      </c>
      <c r="AD10" s="8">
        <v>5609</v>
      </c>
      <c r="AE10" s="8">
        <v>5750</v>
      </c>
      <c r="AF10" s="8">
        <v>5841</v>
      </c>
      <c r="AG10" s="8">
        <v>5564</v>
      </c>
      <c r="AH10" s="8">
        <v>5564</v>
      </c>
      <c r="AI10" s="8">
        <v>5557</v>
      </c>
      <c r="AJ10" s="8">
        <v>5501</v>
      </c>
      <c r="AK10" s="8">
        <v>5250</v>
      </c>
      <c r="AL10" s="8">
        <v>5270</v>
      </c>
      <c r="AM10" s="8">
        <v>5149</v>
      </c>
      <c r="AN10" s="8">
        <v>5092</v>
      </c>
      <c r="AO10" s="8">
        <v>5228</v>
      </c>
      <c r="AP10" s="8">
        <v>5301</v>
      </c>
      <c r="AQ10" s="8">
        <v>5159</v>
      </c>
      <c r="AR10" s="8">
        <v>5198</v>
      </c>
      <c r="AS10" s="8">
        <v>5077</v>
      </c>
      <c r="AT10" s="8">
        <v>4842</v>
      </c>
      <c r="AU10" s="8">
        <v>5050</v>
      </c>
      <c r="AV10" s="8">
        <v>4970</v>
      </c>
      <c r="AW10" s="8">
        <v>4880</v>
      </c>
      <c r="AX10" s="8">
        <v>4704</v>
      </c>
      <c r="AY10" s="8">
        <v>4770</v>
      </c>
      <c r="AZ10" s="8">
        <v>4609</v>
      </c>
      <c r="BA10" s="8">
        <v>4674</v>
      </c>
      <c r="BB10" s="8">
        <v>4710</v>
      </c>
      <c r="BC10" s="8">
        <v>4688</v>
      </c>
      <c r="BD10" s="8">
        <v>4900</v>
      </c>
      <c r="BE10" s="8">
        <v>5000</v>
      </c>
      <c r="BF10" s="12">
        <v>4932</v>
      </c>
      <c r="BG10" s="8"/>
      <c r="BH10" s="8"/>
      <c r="BI10" s="12"/>
      <c r="BJ10" s="8"/>
      <c r="BK10" s="8"/>
      <c r="BL10" s="8"/>
      <c r="BM10" s="8"/>
      <c r="BN10" s="8">
        <f t="shared" si="0"/>
        <v>-87.859799999999964</v>
      </c>
      <c r="BO10" s="8">
        <f t="shared" si="2"/>
        <v>0</v>
      </c>
      <c r="BP10" s="8">
        <f t="shared" si="3"/>
        <v>87.859799999999964</v>
      </c>
      <c r="BQ10" s="8">
        <f>((BE10-H10)/H10)*100</f>
        <v>3.434009102192801</v>
      </c>
      <c r="BR10">
        <v>21</v>
      </c>
      <c r="BS10">
        <v>5252.38</v>
      </c>
      <c r="BT10" s="13">
        <f>(BR10*BS10-BR10*H10)/100</f>
        <v>87.859799999999964</v>
      </c>
    </row>
    <row r="11" spans="1:72" ht="45" customHeight="1" thickBot="1" x14ac:dyDescent="0.3">
      <c r="A11" s="4">
        <v>1166974</v>
      </c>
      <c r="B11" s="2">
        <v>940</v>
      </c>
      <c r="C11" s="2">
        <v>1146</v>
      </c>
      <c r="D11" s="1" t="str">
        <f>IF(I11&lt;[1]GEMINI!L11,"למכור בהפסד",IF(I11&gt;[1]GEMINI!M11,"למכור ברווח","לשמור"))</f>
        <v>לשמור</v>
      </c>
      <c r="E11" s="5" t="s">
        <v>77</v>
      </c>
      <c r="F11" s="6">
        <v>46016</v>
      </c>
      <c r="G11" s="7">
        <v>80</v>
      </c>
      <c r="H11" s="8">
        <v>901.87</v>
      </c>
      <c r="I11" s="8">
        <v>1090</v>
      </c>
      <c r="J11" s="8">
        <v>1090</v>
      </c>
      <c r="K11" s="8">
        <v>1144</v>
      </c>
      <c r="L11" s="8">
        <v>1162</v>
      </c>
      <c r="M11" s="8">
        <v>1109</v>
      </c>
      <c r="N11" s="8">
        <v>1029</v>
      </c>
      <c r="O11" s="8">
        <v>993</v>
      </c>
      <c r="P11" s="8">
        <v>1017</v>
      </c>
      <c r="Q11" s="8">
        <v>960</v>
      </c>
      <c r="R11" s="8">
        <v>965</v>
      </c>
      <c r="S11" s="8">
        <v>965</v>
      </c>
      <c r="T11" s="8">
        <v>951.7</v>
      </c>
      <c r="U11" s="8">
        <v>946</v>
      </c>
      <c r="V11" s="8">
        <v>869.2</v>
      </c>
      <c r="W11" s="8">
        <v>865</v>
      </c>
      <c r="X11" s="8">
        <v>851</v>
      </c>
      <c r="Y11" s="8">
        <v>829.3</v>
      </c>
      <c r="Z11" s="8">
        <v>830</v>
      </c>
      <c r="AA11" s="8">
        <v>810</v>
      </c>
      <c r="AB11" s="8">
        <v>812.8</v>
      </c>
      <c r="AC11" s="8">
        <v>788</v>
      </c>
      <c r="AD11" s="8">
        <v>772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12"/>
      <c r="BG11" s="8"/>
      <c r="BH11" s="8"/>
      <c r="BI11" s="12"/>
      <c r="BJ11" s="8"/>
      <c r="BK11" s="8"/>
      <c r="BL11" s="8"/>
      <c r="BM11" s="8"/>
      <c r="BN11" s="8">
        <f t="shared" si="0"/>
        <v>721.49600000000009</v>
      </c>
      <c r="BO11" s="8">
        <f t="shared" si="2"/>
        <v>721.49600000000009</v>
      </c>
      <c r="BP11" s="8">
        <f t="shared" si="3"/>
        <v>0</v>
      </c>
      <c r="BQ11" s="8"/>
      <c r="BT11" s="13">
        <f>(BR11*BS11-BR11*H11)/100</f>
        <v>0</v>
      </c>
    </row>
    <row r="12" spans="1:72" ht="45" customHeight="1" thickBot="1" x14ac:dyDescent="0.3">
      <c r="A12" s="4">
        <v>1176593</v>
      </c>
      <c r="B12" s="2">
        <v>23843</v>
      </c>
      <c r="C12" s="2">
        <v>28496</v>
      </c>
      <c r="D12" s="1" t="str">
        <f>IF(I12&lt;[1]GEMINI!L12,"למכור בהפסד",IF(I12&gt;[1]GEMINI!M12,"למכור ברווח","לשמור"))</f>
        <v>למכור ברווח</v>
      </c>
      <c r="E12" s="5" t="s">
        <v>78</v>
      </c>
      <c r="F12" s="6">
        <v>46013</v>
      </c>
      <c r="G12" s="7">
        <v>7</v>
      </c>
      <c r="H12" s="8">
        <v>22581.42</v>
      </c>
      <c r="I12" s="8">
        <v>30500</v>
      </c>
      <c r="J12" s="8">
        <v>30500</v>
      </c>
      <c r="K12" s="8">
        <v>28850</v>
      </c>
      <c r="L12" s="8">
        <v>27450</v>
      </c>
      <c r="M12" s="8">
        <v>26940</v>
      </c>
      <c r="N12" s="8">
        <v>26800</v>
      </c>
      <c r="O12" s="8">
        <v>25950</v>
      </c>
      <c r="P12" s="8">
        <v>26000</v>
      </c>
      <c r="Q12" s="8">
        <v>26600</v>
      </c>
      <c r="R12" s="8">
        <v>24630</v>
      </c>
      <c r="S12" s="8">
        <v>24630</v>
      </c>
      <c r="T12" s="8">
        <v>25230</v>
      </c>
      <c r="U12" s="8">
        <v>24700</v>
      </c>
      <c r="V12" s="8">
        <v>23780</v>
      </c>
      <c r="W12" s="8">
        <v>23920</v>
      </c>
      <c r="X12" s="8">
        <v>22390</v>
      </c>
      <c r="Y12" s="8">
        <v>23000</v>
      </c>
      <c r="Z12" s="8">
        <v>20990</v>
      </c>
      <c r="AA12" s="8">
        <v>20260</v>
      </c>
      <c r="AB12" s="8">
        <v>19200</v>
      </c>
      <c r="AC12" s="8">
        <v>19860</v>
      </c>
      <c r="AD12" s="8">
        <v>19700</v>
      </c>
      <c r="AE12" s="8">
        <v>19430</v>
      </c>
      <c r="AF12" s="8">
        <v>19020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12"/>
      <c r="BG12" s="8"/>
      <c r="BH12" s="8"/>
      <c r="BI12" s="12"/>
      <c r="BJ12" s="8"/>
      <c r="BK12" s="8"/>
      <c r="BL12" s="8"/>
      <c r="BM12" s="8"/>
      <c r="BN12" s="8">
        <f t="shared" si="0"/>
        <v>1580.6994</v>
      </c>
      <c r="BO12" s="8">
        <f t="shared" si="2"/>
        <v>1580.6994</v>
      </c>
      <c r="BP12" s="8"/>
      <c r="BQ12" s="8"/>
      <c r="BT12" s="13">
        <f t="shared" ref="BT12:BT18" si="4">(BR12*BS12-BR12*H12)/100</f>
        <v>0</v>
      </c>
    </row>
    <row r="13" spans="1:72" ht="45" customHeight="1" thickBot="1" x14ac:dyDescent="0.3">
      <c r="A13" s="4">
        <v>397018</v>
      </c>
      <c r="B13" s="2">
        <v>890</v>
      </c>
      <c r="C13" s="2">
        <v>1125</v>
      </c>
      <c r="D13" s="1" t="str">
        <f>IF(I13&lt;[1]GEMINI!L13,"למכור בהפסד",IF(I13&gt;[1]GEMINI!M13,"למכור ברווח","לשמור"))</f>
        <v>למכור ברווח</v>
      </c>
      <c r="E13" s="5" t="s">
        <v>79</v>
      </c>
      <c r="F13" s="6">
        <v>46042</v>
      </c>
      <c r="G13" s="7">
        <v>113</v>
      </c>
      <c r="H13" s="8">
        <v>723</v>
      </c>
      <c r="I13" s="8">
        <v>1490</v>
      </c>
      <c r="J13" s="8">
        <v>1490</v>
      </c>
      <c r="K13" s="8">
        <v>1210</v>
      </c>
      <c r="L13" s="8">
        <v>1100</v>
      </c>
      <c r="M13" s="8">
        <v>980</v>
      </c>
      <c r="N13" s="8">
        <v>932.1</v>
      </c>
      <c r="O13" s="8">
        <v>822</v>
      </c>
      <c r="P13" s="8">
        <v>790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12"/>
      <c r="BG13" s="8"/>
      <c r="BH13" s="8"/>
      <c r="BI13" s="12"/>
      <c r="BJ13" s="8"/>
      <c r="BK13" s="8"/>
      <c r="BL13" s="8"/>
      <c r="BM13" s="8"/>
      <c r="BN13" s="8">
        <f t="shared" si="0"/>
        <v>816.99</v>
      </c>
      <c r="BO13" s="8">
        <f t="shared" si="2"/>
        <v>816.99</v>
      </c>
      <c r="BP13" s="8"/>
      <c r="BQ13" s="8"/>
      <c r="BT13" s="13">
        <f t="shared" si="4"/>
        <v>0</v>
      </c>
    </row>
    <row r="14" spans="1:72" ht="45" customHeight="1" thickBot="1" x14ac:dyDescent="0.3">
      <c r="A14" s="4">
        <v>662577</v>
      </c>
      <c r="B14" s="2">
        <v>7315</v>
      </c>
      <c r="C14" s="2">
        <v>8391</v>
      </c>
      <c r="D14" s="1" t="str">
        <f>IF(I14&lt;[1]GEMINI!L14,"למכור בהפסד",IF(I14&gt;[1]GEMINI!M14,"למכור ברווח","לשמור"))</f>
        <v>לשמור</v>
      </c>
      <c r="E14" s="5" t="s">
        <v>80</v>
      </c>
      <c r="F14" s="6">
        <v>45921</v>
      </c>
      <c r="G14" s="7">
        <v>9</v>
      </c>
      <c r="H14" s="8">
        <v>7204.22</v>
      </c>
      <c r="I14" s="8">
        <v>7676</v>
      </c>
      <c r="J14" s="8">
        <v>7676</v>
      </c>
      <c r="K14" s="8">
        <v>7844</v>
      </c>
      <c r="L14" s="8">
        <v>7810</v>
      </c>
      <c r="M14" s="8">
        <v>7710</v>
      </c>
      <c r="N14" s="8">
        <v>7735</v>
      </c>
      <c r="O14" s="8">
        <v>7725</v>
      </c>
      <c r="P14" s="8">
        <v>7787</v>
      </c>
      <c r="Q14" s="8">
        <v>7955</v>
      </c>
      <c r="R14" s="8">
        <v>7627</v>
      </c>
      <c r="S14" s="8">
        <v>7627</v>
      </c>
      <c r="T14" s="8">
        <v>7656</v>
      </c>
      <c r="U14" s="8">
        <v>7507</v>
      </c>
      <c r="V14" s="8">
        <v>7590</v>
      </c>
      <c r="W14" s="8">
        <v>7569</v>
      </c>
      <c r="X14" s="8">
        <v>7269</v>
      </c>
      <c r="Y14" s="8">
        <v>7444</v>
      </c>
      <c r="Z14" s="8">
        <v>7205</v>
      </c>
      <c r="AA14" s="8">
        <v>7298</v>
      </c>
      <c r="AB14" s="8">
        <v>7222</v>
      </c>
      <c r="AC14" s="8">
        <v>7079</v>
      </c>
      <c r="AD14" s="8">
        <v>7140</v>
      </c>
      <c r="AE14" s="8">
        <v>7440</v>
      </c>
      <c r="AF14" s="8">
        <v>7530</v>
      </c>
      <c r="AG14" s="8">
        <v>7535</v>
      </c>
      <c r="AH14" s="8">
        <v>7535</v>
      </c>
      <c r="AI14" s="8">
        <v>7568</v>
      </c>
      <c r="AJ14" s="8">
        <v>7699</v>
      </c>
      <c r="AK14" s="8">
        <v>7638</v>
      </c>
      <c r="AL14" s="8">
        <v>7654</v>
      </c>
      <c r="AM14" s="8">
        <v>7584</v>
      </c>
      <c r="AN14" s="8">
        <v>7479</v>
      </c>
      <c r="AO14" s="8">
        <v>7490</v>
      </c>
      <c r="AP14" s="8">
        <v>7480</v>
      </c>
      <c r="AQ14" s="8">
        <v>7270</v>
      </c>
      <c r="AR14" s="8">
        <v>7163</v>
      </c>
      <c r="AS14" s="8">
        <v>7231</v>
      </c>
      <c r="AT14" s="8">
        <v>7100</v>
      </c>
      <c r="AU14" s="8">
        <v>7100</v>
      </c>
      <c r="AV14" s="8">
        <v>7027</v>
      </c>
      <c r="AW14" s="8">
        <v>6984</v>
      </c>
      <c r="AX14" s="8">
        <v>6944</v>
      </c>
      <c r="AY14" s="8">
        <v>6924</v>
      </c>
      <c r="AZ14" s="8">
        <v>6930</v>
      </c>
      <c r="BA14" s="8">
        <v>6938</v>
      </c>
      <c r="BB14" s="8">
        <v>6989</v>
      </c>
      <c r="BC14" s="8">
        <v>6871</v>
      </c>
      <c r="BD14" s="8">
        <v>6943</v>
      </c>
      <c r="BE14" s="8">
        <v>7040</v>
      </c>
      <c r="BF14" s="12">
        <v>6696</v>
      </c>
      <c r="BG14" s="8">
        <v>6965</v>
      </c>
      <c r="BH14" s="8">
        <v>6788</v>
      </c>
      <c r="BI14" s="12">
        <v>6696</v>
      </c>
      <c r="BJ14" s="8">
        <v>6625</v>
      </c>
      <c r="BK14" s="8">
        <v>6660</v>
      </c>
      <c r="BL14" s="8">
        <v>6791</v>
      </c>
      <c r="BM14" s="8">
        <v>6610</v>
      </c>
      <c r="BN14" s="8">
        <f t="shared" si="0"/>
        <v>648.37980000000005</v>
      </c>
      <c r="BO14" s="8">
        <f t="shared" si="2"/>
        <v>648.37980000000005</v>
      </c>
      <c r="BP14" s="8">
        <f t="shared" ref="BP14:BP18" si="5">(BO14-BN14)</f>
        <v>0</v>
      </c>
      <c r="BQ14" s="8">
        <f>((BE14-H14)/H14)*100</f>
        <v>-2.2794972946411995</v>
      </c>
      <c r="BT14" s="13">
        <f t="shared" si="4"/>
        <v>0</v>
      </c>
    </row>
    <row r="15" spans="1:72" ht="45" customHeight="1" thickBot="1" x14ac:dyDescent="0.3">
      <c r="A15" s="4">
        <v>5137534</v>
      </c>
      <c r="B15" s="2">
        <v>12492</v>
      </c>
      <c r="C15" s="2">
        <v>15132</v>
      </c>
      <c r="D15" s="1" t="str">
        <f>IF(I15&lt;[1]GEMINI!L15,"למכור בהפסד",IF(I15&gt;[1]GEMINI!M15,"למכור ברווח","לשמור"))</f>
        <v>לשמור</v>
      </c>
      <c r="E15" s="5" t="s">
        <v>81</v>
      </c>
      <c r="F15" s="15">
        <v>46020</v>
      </c>
      <c r="G15" s="7">
        <v>8</v>
      </c>
      <c r="H15" s="8">
        <v>11598.87</v>
      </c>
      <c r="I15" s="8">
        <v>14679.12</v>
      </c>
      <c r="J15" s="8">
        <v>14679.12</v>
      </c>
      <c r="K15" s="8">
        <v>13968</v>
      </c>
      <c r="L15" s="8">
        <v>15528.12</v>
      </c>
      <c r="M15" s="8">
        <v>14358.25</v>
      </c>
      <c r="N15" s="8">
        <v>14385.75</v>
      </c>
      <c r="O15" s="8">
        <v>13880</v>
      </c>
      <c r="P15" s="8">
        <v>13610.62</v>
      </c>
      <c r="Q15" s="8">
        <v>13016</v>
      </c>
      <c r="R15" s="8">
        <v>12487.37</v>
      </c>
      <c r="S15" s="8">
        <v>12638.62</v>
      </c>
      <c r="T15" s="8">
        <v>12533.87</v>
      </c>
      <c r="U15" s="8">
        <v>11299.5</v>
      </c>
      <c r="V15" s="8">
        <v>11193.12</v>
      </c>
      <c r="W15" s="8">
        <v>11548.62</v>
      </c>
      <c r="X15" s="8">
        <v>11125.62</v>
      </c>
      <c r="Y15" s="8">
        <v>10932.12</v>
      </c>
      <c r="Z15" s="8">
        <v>11095.62</v>
      </c>
      <c r="AA15" s="8">
        <v>10910.58</v>
      </c>
      <c r="AB15" s="8">
        <v>11609.37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1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12"/>
      <c r="BG15" s="8"/>
      <c r="BH15" s="8"/>
      <c r="BI15" s="12"/>
      <c r="BJ15" s="8"/>
      <c r="BK15" s="8"/>
      <c r="BL15" s="8"/>
      <c r="BM15" s="8"/>
      <c r="BN15" s="8">
        <f t="shared" si="0"/>
        <v>927.90960000000007</v>
      </c>
      <c r="BO15" s="8">
        <f t="shared" si="2"/>
        <v>927.90960000000007</v>
      </c>
      <c r="BP15" s="8">
        <f t="shared" si="5"/>
        <v>0</v>
      </c>
      <c r="BQ15" s="8">
        <f>((BE15-H15)/H15)*100</f>
        <v>-100</v>
      </c>
      <c r="BT15" s="13">
        <f t="shared" si="4"/>
        <v>0</v>
      </c>
    </row>
    <row r="16" spans="1:72" ht="45" customHeight="1" thickBot="1" x14ac:dyDescent="0.3">
      <c r="A16" s="4">
        <v>5135470</v>
      </c>
      <c r="B16" s="2">
        <v>198</v>
      </c>
      <c r="C16" s="2">
        <v>240</v>
      </c>
      <c r="D16" s="1" t="str">
        <f>IF(I16&lt;[1]GEMINI!L16,"למכור בהפסד",IF(I16&gt;[1]GEMINI!M16,"למכור ברווח","לשמור"))</f>
        <v>לשמור</v>
      </c>
      <c r="E16" s="5" t="s">
        <v>82</v>
      </c>
      <c r="F16" s="6">
        <v>45910</v>
      </c>
      <c r="G16" s="7">
        <v>300</v>
      </c>
      <c r="H16" s="8">
        <v>183.73</v>
      </c>
      <c r="I16" s="8">
        <v>227.54</v>
      </c>
      <c r="J16" s="8">
        <v>226.96</v>
      </c>
      <c r="K16" s="8">
        <v>225.24</v>
      </c>
      <c r="L16" s="8">
        <v>223.25</v>
      </c>
      <c r="M16" s="8">
        <v>219.14</v>
      </c>
      <c r="N16" s="8">
        <v>219.14</v>
      </c>
      <c r="O16" s="8">
        <v>219.3</v>
      </c>
      <c r="P16" s="8">
        <v>222.79</v>
      </c>
      <c r="Q16" s="8">
        <v>221.16</v>
      </c>
      <c r="R16" s="8">
        <v>220.66</v>
      </c>
      <c r="S16" s="8">
        <v>222.06</v>
      </c>
      <c r="T16" s="8">
        <v>218.71</v>
      </c>
      <c r="U16" s="8">
        <v>216.74</v>
      </c>
      <c r="V16" s="8">
        <v>216.04</v>
      </c>
      <c r="W16" s="8">
        <v>210.69</v>
      </c>
      <c r="X16" s="8">
        <v>210.69</v>
      </c>
      <c r="Y16" s="8">
        <v>198</v>
      </c>
      <c r="Z16" s="8">
        <v>196.74</v>
      </c>
      <c r="AA16" s="8">
        <v>192.56</v>
      </c>
      <c r="AB16" s="8">
        <v>192.23</v>
      </c>
      <c r="AC16" s="8">
        <v>191.19</v>
      </c>
      <c r="AD16" s="8">
        <v>193.62</v>
      </c>
      <c r="AE16" s="8">
        <v>190.75</v>
      </c>
      <c r="AF16" s="8">
        <v>189.06</v>
      </c>
      <c r="AG16" s="8">
        <v>182.73</v>
      </c>
      <c r="AH16" s="8">
        <v>182.73</v>
      </c>
      <c r="AI16" s="8">
        <v>177.92</v>
      </c>
      <c r="AJ16" s="8">
        <v>179.16</v>
      </c>
      <c r="AK16" s="8">
        <v>179.34</v>
      </c>
      <c r="AL16" s="8">
        <v>176.5</v>
      </c>
      <c r="AM16" s="8">
        <v>176.5</v>
      </c>
      <c r="AN16" s="8">
        <v>175.93</v>
      </c>
      <c r="AO16" s="8">
        <v>174.51</v>
      </c>
      <c r="AP16" s="8">
        <v>173.91</v>
      </c>
      <c r="AQ16" s="8">
        <v>177.1</v>
      </c>
      <c r="AR16" s="8">
        <v>178.24</v>
      </c>
      <c r="AS16" s="8">
        <v>176.52</v>
      </c>
      <c r="AT16" s="8">
        <v>178.27</v>
      </c>
      <c r="AU16" s="8">
        <v>175.29</v>
      </c>
      <c r="AV16" s="8">
        <v>175.34</v>
      </c>
      <c r="AW16" s="8">
        <v>174.41</v>
      </c>
      <c r="AX16" s="8">
        <v>176.22</v>
      </c>
      <c r="AY16" s="8">
        <v>174</v>
      </c>
      <c r="AZ16" s="8">
        <v>176.35</v>
      </c>
      <c r="BA16" s="8">
        <v>177.71</v>
      </c>
      <c r="BB16" s="8">
        <v>180.08</v>
      </c>
      <c r="BC16" s="8">
        <v>181.96</v>
      </c>
      <c r="BD16" s="8">
        <v>182.9</v>
      </c>
      <c r="BE16" s="8">
        <v>181.86</v>
      </c>
      <c r="BF16" s="12">
        <v>182.56</v>
      </c>
      <c r="BG16" s="8">
        <v>181.07</v>
      </c>
      <c r="BH16" s="8">
        <v>182.56</v>
      </c>
      <c r="BI16" s="12">
        <v>182.56</v>
      </c>
      <c r="BJ16" s="8">
        <v>178.86</v>
      </c>
      <c r="BK16" s="8">
        <v>180.16</v>
      </c>
      <c r="BL16" s="8">
        <v>179.56</v>
      </c>
      <c r="BM16" s="8">
        <v>176.55</v>
      </c>
      <c r="BN16" s="8">
        <f t="shared" si="0"/>
        <v>673.09559999999999</v>
      </c>
      <c r="BO16" s="8">
        <f t="shared" si="2"/>
        <v>551.19000000000005</v>
      </c>
      <c r="BP16" s="8">
        <f t="shared" si="5"/>
        <v>-121.90559999999994</v>
      </c>
      <c r="BQ16" s="8">
        <f>((BE16-H16)/H16)*100</f>
        <v>-1.0177978555488905</v>
      </c>
      <c r="BR16">
        <v>1864</v>
      </c>
      <c r="BS16">
        <v>177.19</v>
      </c>
      <c r="BT16" s="13">
        <f t="shared" si="4"/>
        <v>-121.90559999999998</v>
      </c>
    </row>
    <row r="17" spans="1:72" ht="45" customHeight="1" thickBot="1" x14ac:dyDescent="0.3">
      <c r="A17" s="4">
        <v>5134135</v>
      </c>
      <c r="B17" s="2">
        <v>170</v>
      </c>
      <c r="C17" s="2">
        <v>204</v>
      </c>
      <c r="D17" s="1" t="str">
        <f>IF(I17&lt;[1]GEMINI!L17,"למכור בהפסד",IF(I17&gt;[1]GEMINI!M17,"למכור ברווח","לשמור"))</f>
        <v>לשמור</v>
      </c>
      <c r="E17" s="5" t="s">
        <v>83</v>
      </c>
      <c r="F17" s="6">
        <v>46021</v>
      </c>
      <c r="G17" s="7">
        <v>600</v>
      </c>
      <c r="H17" s="8">
        <v>159.65</v>
      </c>
      <c r="I17" s="8">
        <v>194.88</v>
      </c>
      <c r="J17" s="8">
        <v>189.51</v>
      </c>
      <c r="K17" s="8">
        <v>189.51</v>
      </c>
      <c r="L17" s="8">
        <v>189.51</v>
      </c>
      <c r="M17" s="8">
        <v>185.52</v>
      </c>
      <c r="N17" s="8">
        <v>185.52</v>
      </c>
      <c r="O17" s="8">
        <v>178.98</v>
      </c>
      <c r="P17" s="8">
        <v>178.98</v>
      </c>
      <c r="Q17" s="8">
        <v>178.98</v>
      </c>
      <c r="R17" s="8">
        <v>170.7</v>
      </c>
      <c r="S17" s="8">
        <v>170.7</v>
      </c>
      <c r="T17" s="8">
        <v>170.7</v>
      </c>
      <c r="U17" s="8">
        <v>170.45</v>
      </c>
      <c r="V17" s="8">
        <v>160.84</v>
      </c>
      <c r="W17" s="8">
        <v>160.84</v>
      </c>
      <c r="X17" s="8">
        <v>160.84</v>
      </c>
      <c r="Y17" s="8">
        <v>159.02000000000001</v>
      </c>
      <c r="Z17" s="8">
        <v>159.65</v>
      </c>
      <c r="AA17" s="8">
        <v>159.65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12"/>
      <c r="BG17" s="8"/>
      <c r="BH17" s="8"/>
      <c r="BI17" s="12"/>
      <c r="BJ17" s="8"/>
      <c r="BK17" s="8"/>
      <c r="BL17" s="8"/>
      <c r="BM17" s="8"/>
      <c r="BN17" s="8">
        <f t="shared" si="0"/>
        <v>957.9</v>
      </c>
      <c r="BO17" s="8">
        <f t="shared" si="2"/>
        <v>957.9</v>
      </c>
      <c r="BP17" s="8">
        <f t="shared" si="5"/>
        <v>0</v>
      </c>
      <c r="BQ17" s="8">
        <f>((BE17-H17)/H17)*100</f>
        <v>-100</v>
      </c>
      <c r="BT17" s="13">
        <f t="shared" si="4"/>
        <v>0</v>
      </c>
    </row>
    <row r="18" spans="1:72" ht="45" customHeight="1" thickBot="1" x14ac:dyDescent="0.3">
      <c r="A18" s="4">
        <v>1168723</v>
      </c>
      <c r="B18" s="2">
        <v>1608</v>
      </c>
      <c r="C18" s="2">
        <v>1928</v>
      </c>
      <c r="D18" s="1" t="str">
        <f>IF(I18&lt;[1]GEMINI!L18,"למכור בהפסד",IF(I18&gt;[1]GEMINI!M18,"למכור ברווח","לשמור"))</f>
        <v>לשמור</v>
      </c>
      <c r="E18" s="5" t="s">
        <v>84</v>
      </c>
      <c r="F18" s="6">
        <v>46019</v>
      </c>
      <c r="G18" s="7">
        <v>45</v>
      </c>
      <c r="H18" s="8">
        <v>1434</v>
      </c>
      <c r="I18" s="8">
        <v>1811</v>
      </c>
      <c r="J18" s="8">
        <v>1811</v>
      </c>
      <c r="K18" s="8">
        <v>1825</v>
      </c>
      <c r="L18" s="8">
        <v>1831</v>
      </c>
      <c r="M18" s="8">
        <v>1799</v>
      </c>
      <c r="N18" s="8">
        <v>1757</v>
      </c>
      <c r="O18" s="8">
        <v>1698</v>
      </c>
      <c r="P18" s="8">
        <v>1694</v>
      </c>
      <c r="Q18" s="8">
        <v>1671</v>
      </c>
      <c r="R18" s="8">
        <v>1660</v>
      </c>
      <c r="S18" s="8">
        <v>1660</v>
      </c>
      <c r="T18" s="8">
        <v>1646</v>
      </c>
      <c r="U18" s="8">
        <v>1648</v>
      </c>
      <c r="V18" s="8">
        <v>1614</v>
      </c>
      <c r="W18" s="8">
        <v>1626</v>
      </c>
      <c r="X18" s="8">
        <v>1587</v>
      </c>
      <c r="Y18" s="8">
        <v>1548</v>
      </c>
      <c r="Z18" s="8">
        <v>1500</v>
      </c>
      <c r="AA18" s="8">
        <v>1491</v>
      </c>
      <c r="AB18" s="8">
        <v>1444</v>
      </c>
      <c r="AC18" s="8">
        <v>1431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>
        <v>1788</v>
      </c>
      <c r="BE18" s="8">
        <v>1788</v>
      </c>
      <c r="BF18" s="12">
        <v>1780</v>
      </c>
      <c r="BG18" s="8">
        <v>1814</v>
      </c>
      <c r="BH18" s="8">
        <v>1794</v>
      </c>
      <c r="BI18" s="12">
        <v>1780</v>
      </c>
      <c r="BJ18" s="8">
        <v>1772</v>
      </c>
      <c r="BK18" s="8">
        <v>1798</v>
      </c>
      <c r="BL18" s="8">
        <v>1806</v>
      </c>
      <c r="BM18" s="8">
        <v>1801</v>
      </c>
      <c r="BN18" s="8">
        <f t="shared" si="0"/>
        <v>292.79999999999995</v>
      </c>
      <c r="BO18" s="8">
        <f t="shared" si="2"/>
        <v>645.29999999999995</v>
      </c>
      <c r="BP18" s="8">
        <f t="shared" si="5"/>
        <v>352.5</v>
      </c>
      <c r="BQ18" s="8">
        <f>((BE18-H18)/H18)*100</f>
        <v>24.686192468619247</v>
      </c>
      <c r="BR18">
        <v>100</v>
      </c>
      <c r="BS18">
        <v>1786.5</v>
      </c>
      <c r="BT18" s="13">
        <f t="shared" si="4"/>
        <v>352.5</v>
      </c>
    </row>
    <row r="19" spans="1:72" ht="45" customHeight="1" thickBot="1" x14ac:dyDescent="0.3">
      <c r="A19" s="4">
        <v>1146604</v>
      </c>
      <c r="B19" s="2">
        <f>[1]GEMINI!L19</f>
        <v>0</v>
      </c>
      <c r="C19" s="2">
        <f>[1]GEMINI!M19</f>
        <v>0</v>
      </c>
      <c r="D19" s="1" t="str">
        <f>IF(I19&lt;[1]GEMINI!L19,"למכור בהפסד",IF(I19&gt;[1]GEMINI!M19,"למכור ברווח","לשמור"))</f>
        <v>לשמור</v>
      </c>
      <c r="E19" s="5" t="s">
        <v>85</v>
      </c>
      <c r="F19" s="6">
        <v>46016</v>
      </c>
      <c r="G19" s="7">
        <v>0</v>
      </c>
      <c r="H19" s="8">
        <v>6548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>
        <v>6461</v>
      </c>
      <c r="Z19" s="8">
        <v>6503</v>
      </c>
      <c r="AA19" s="8">
        <v>6535</v>
      </c>
      <c r="AB19" s="8">
        <v>6532</v>
      </c>
      <c r="AC19" s="8">
        <v>6515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12"/>
      <c r="BG19" s="8"/>
      <c r="BH19" s="8"/>
      <c r="BI19" s="12"/>
      <c r="BJ19" s="8"/>
      <c r="BK19" s="8"/>
      <c r="BL19" s="8"/>
      <c r="BM19" s="8"/>
      <c r="BN19" s="8">
        <f t="shared" si="0"/>
        <v>0</v>
      </c>
      <c r="BO19" s="8">
        <f t="shared" si="2"/>
        <v>0</v>
      </c>
      <c r="BP19" s="8"/>
      <c r="BQ19" s="8"/>
      <c r="BR19">
        <v>7</v>
      </c>
      <c r="BS19">
        <v>6461</v>
      </c>
      <c r="BT19" s="13"/>
    </row>
    <row r="20" spans="1:72" ht="45" customHeight="1" thickBot="1" x14ac:dyDescent="0.3">
      <c r="A20" s="4"/>
      <c r="B20" s="2"/>
      <c r="C20" s="2"/>
      <c r="D20" s="1"/>
      <c r="E20" s="5"/>
      <c r="F20" s="15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12"/>
      <c r="BG20" s="8"/>
      <c r="BH20" s="8"/>
      <c r="BI20" s="12"/>
      <c r="BJ20" s="8"/>
      <c r="BK20" s="8"/>
      <c r="BL20" s="8"/>
      <c r="BM20" s="8"/>
      <c r="BN20" s="8"/>
      <c r="BO20" s="8"/>
      <c r="BP20" s="8"/>
      <c r="BQ20" s="8"/>
      <c r="BT20" s="13"/>
    </row>
    <row r="21" spans="1:72" ht="15.75" thickBot="1" x14ac:dyDescent="0.3"/>
    <row r="22" spans="1:72" ht="45" customHeight="1" thickBot="1" x14ac:dyDescent="0.3">
      <c r="A22" s="4"/>
      <c r="B22" s="14"/>
      <c r="C22" s="14"/>
      <c r="D22" s="1"/>
      <c r="E22" s="5"/>
      <c r="F22" s="15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12"/>
      <c r="BG22" s="8"/>
      <c r="BH22" s="8"/>
      <c r="BI22" s="12"/>
      <c r="BJ22" s="8"/>
      <c r="BK22" s="8"/>
      <c r="BL22" s="8"/>
      <c r="BM22" s="8"/>
      <c r="BN22" s="8"/>
      <c r="BO22" s="8"/>
      <c r="BP22" s="8"/>
      <c r="BQ22" s="8"/>
      <c r="BT22" s="13"/>
    </row>
    <row r="23" spans="1:72" ht="54.95" customHeight="1" thickBot="1" x14ac:dyDescent="0.3">
      <c r="A23" s="4"/>
      <c r="B23" s="14"/>
      <c r="C23" s="14"/>
      <c r="D23" s="14"/>
      <c r="E23" s="17"/>
      <c r="F23" s="6"/>
      <c r="G23" s="7"/>
      <c r="H23" s="8"/>
      <c r="I23" s="18">
        <f>(G2*I2+G3*I3+G4*I4+G5*I5+G6*I6+G7*I7+G8*I8+I9*G9+G10*I10+I11*G11+G12*I12+G13*I13+G14*I14+I15*G15+I16*G16+G17*I17+G18*I18+G19*I19)/100</f>
        <v>17636.125599999999</v>
      </c>
      <c r="J23" s="18">
        <f>(J2*G2+G3*J3+J4*G4+G5*J5+G6*J6+G7*J7+G8*J8+G9*J9+G10*J10+G11*J11+G12*J12+J13*G13+G14*J14+J15*G15+G16*J16+G17*J17+J18*G18+G19*J19)/100</f>
        <v>17602.1656</v>
      </c>
      <c r="K23" s="18">
        <f>(K2*G2+G3*K3+K4*G4+G5*K5+G6*K6+G7*K7+G8*K8+G9*K9+G10*K10+G11*K11+G12*K12+K13*G13+G14*K14+K15*G15+G16*K16+G17*K17+K18*G18+G19*K19)/100</f>
        <v>17147.358</v>
      </c>
      <c r="L23" s="18">
        <f>(L2*G2+G3*L3+L4*G4+G5*L5+G6*L6+G7*L7+G8*L8+G9*L9+G10*L10+G11*L11+G12*L12+L13*G13+G14*L14+L15*G15+G16*L16+G17*L17+L18*G18+G19*L19)/100</f>
        <v>17029.563599999998</v>
      </c>
      <c r="M23" s="18">
        <f>(M2*G2+G3*M3+M4*G4+G5*M5+G6*M6+G7*M7+G8*M8+G9*M9+G10*M10+G11*M11+G12*M12+M13*G13+G14*M14+M15*G15+G16*M16+G17*M17+M18*G18+G19*M19)/100</f>
        <v>16540.263999999999</v>
      </c>
      <c r="N23" s="18">
        <f>(N2*G2+G3*N3+N4*G4+G5*N5+G6*N6+G7*N7+G8*N8+G9*N9+G10*N10+G11*N11+G12*N12+N13*G13+G14*N14+N15*G15+G16*N16+G17*N17+N18*G18+G19*N19)/100</f>
        <v>16192.033000000001</v>
      </c>
      <c r="O23" s="18">
        <f>(O2*G2+G3*O3+O4*G4+G5*O5+G6*O6+G7*O7+G8*O8+G9*O9+G10*O10+G11*O11+G12*O12+O13*G13+G14*O14+O15*G15+G16*O16+G17*O17+O18*G18+G19*O19)/100</f>
        <v>15786.002</v>
      </c>
      <c r="P23" s="18">
        <f>(P2*G2+G3*P3+P4*G4+G5*P5+G6*P6+G7*P7+G8*P8+G9*P9+G10*P10+G11*P11+G12*P12+P13*G13+G14*P14+P15*G15+G16*P16+G17*P17+P18*G18+G19*P19)/100</f>
        <v>15902.0576</v>
      </c>
      <c r="Q23" s="18">
        <f>(Q3*G3+G4*Q4+Q5*G5+G6*Q6+G7*Q7+G8*Q8+G9*Q9+G10*Q10+G11*Q11+G12*Q12+G14*Q14+Q15*G15+G16*Q16+Q17*G17+G18*Q18+G19*Q19)/100</f>
        <v>14094.97</v>
      </c>
      <c r="R23" s="18">
        <f>(R3*G3+G4*R4+R5*G5+G6*R6+G7*R7+G8*R8+G9*R9+G10*R10+G11*R11+G12*R12+G14*R14+R15*G15+G16*R16+R17*G17+G18*R18+G19*R19)/100</f>
        <v>13839.4576</v>
      </c>
      <c r="S23" s="18">
        <f>(S3*G3+G4*S4+S5*G5+G6*S6+G7*S7+G8*S8+G9*S9+G10*S10+G11*S11+G12*S12+G14*S14+S15*G15+G16*S16+S17*G17+G18*S18+G19*S19)/100</f>
        <v>13855.757600000001</v>
      </c>
      <c r="T23" s="18">
        <f>(T3*G3+G4*T4+T5*G5+G6*T6+G7*T7+G8*T8+G9*T9+G10*T10+G11*T11+G12*T12+G14*T14+T15*G15+G16*T16+T17*G17+G18*T18+G19*T19)/100</f>
        <v>13797.417600000001</v>
      </c>
      <c r="U23" s="18">
        <f>(U3*G3+G4*U4+U5*G5+G6*U6+G7*U7+G8*U8+G9*U9+G10*U10+G11*U11+G12*U12+G14*U14+U15*G15+G16*U16+U17*G17+G18*U18+G19*U19)/100</f>
        <v>13184.28</v>
      </c>
      <c r="V23" s="18">
        <f>(V3*G3+G4*V4+V5*G5+G6*V6+G7*V7+G8*V8+G9*V9+G10*V10+G11*V11+G12*V12+G14*V14+V15*G15+G16*V16+V17*G17+G18*V18+G19*V19)/100</f>
        <v>12980.185600000001</v>
      </c>
      <c r="W23" s="18">
        <f>(W3*G3+G4*W4+W5*G5+G6*W6+G7*W7+G8*W8+G9*W9+G10*W10+G11*W11+G12*W12+G14*W14+W15*G15+G16*W16+W17*G17+G18*W18+G19*W19)/100</f>
        <v>11213.0556</v>
      </c>
      <c r="X23" s="18">
        <f>(X5*G5+G6*X6+X7*G7+G8*X8+G9*X9+G10*X10+G11*X11+G12*X12+G14*X14+G20*X20+G15*X15+X16*G16+G17*X17+X18*G18+G19*X19)/100</f>
        <v>10380.919599999999</v>
      </c>
      <c r="Y23" s="18" t="e">
        <f>(Y5*G5+G7*Y7+Y8*G8+G9*Y9+#REF!*#REF!+G10*Y10+G11*Y11+G12*Y12+G14*Y14+G19*Y19+G20*Y20+Y6*G6+G15*Y15+#REF!*#REF!+G16*Y16+G17*Y17+Y18*G18+#REF!*#REF!+#REF!*#REF!+#REF!*#REF!+#REF!*#REF!+#REF!*#REF!+#REF!*#REF!+G3*Y3+#REF!*#REF!)/100</f>
        <v>#REF!</v>
      </c>
      <c r="Z23" s="18" t="e">
        <f>(Z5*G5+G7*Z7+Z8*G8+G9*Z9+#REF!*#REF!+G10*Z10+G11*Z11+G12*Z12+G14*Z14+G19*Z19+G20*Z20+Z6*G6+G15*Z15+#REF!*#REF!+G16*Z16+G17*Z17+Z18*G18+#REF!*#REF!+#REF!*#REF!+#REF!*#REF!+#REF!*#REF!+#REF!*#REF!+#REF!*#REF!+G3*Z3+#REF!*#REF!)/100</f>
        <v>#REF!</v>
      </c>
      <c r="AA23" s="18" t="e">
        <f>(AA5*G5+G7*AA7+AA8*G8+G9*AA9+#REF!*#REF!+G10*AA10+G11*AA11+G12*AA12+G14*AA14+G19*AA19+G20*AA20+AA6*G6+G15*AA15+#REF!*#REF!+G16*AA16+G17*AA17+AA18*G18+#REF!*#REF!+#REF!*#REF!+#REF!*#REF!+#REF!*#REF!+#REF!*#REF!+#REF!*#REF!+G3*AA3+#REF!*#REF!)/100</f>
        <v>#REF!</v>
      </c>
      <c r="AB23" s="18" t="e">
        <f>(AB5*G5+G7*AB7+AB8*G8+G9*AB9+#REF!*#REF!+G10*AB10+G11*AB11+G12*AB12+G14*AB14+G19*AB19+G20*AB20+AB6*G6+G15*AB15+#REF!*#REF!+G16*AB16+G18*AB18+#REF!*#REF!+#REF!*#REF!+#REF!*#REF!+#REF!*#REF!+#REF!*#REF!+#REF!*#REF!+G3*AB3+#REF!*#REF!+G4*AB4)/100</f>
        <v>#REF!</v>
      </c>
      <c r="AC23" s="18" t="e">
        <f>(#REF!*#REF!+#REF!*#REF!+AC3*G3+#REF!*#REF!+G4*AC4+G5*AC5+G7*AC7+G8*AC8+G9*AC9+#REF!*#REF!+G10*AC10+AC11*G11+G12*AC12+AC14*G14+#REF!*#REF!+#REF!*#REF!+#REF!*#REF!+#REF!*#REF!+G20*AC20+AC6*G6+#REF!*#REF!+G16*AC16+G18*AC18+G19*AC19)/100</f>
        <v>#REF!</v>
      </c>
      <c r="AD23" s="18" t="e">
        <f>(#REF!*#REF!+#REF!*#REF!+AD3*G3+#REF!*#REF!+G4*AD4+G5*AD5+G7*AD7+G8*AD8+G9*AD9+#REF!*#REF!+G10*AD10+AD11*G11+G12*AD12+AD14*G14+#REF!*#REF!+#REF!*#REF!+#REF!*#REF!+#REF!*#REF!+G20*AD20+AD6*G6+#REF!*#REF!+G16*AD16+G18*AD18+G19*AD19)/100</f>
        <v>#REF!</v>
      </c>
      <c r="AE23" s="18" t="e">
        <f>(#REF!*#REF!+#REF!*#REF!+AE3*G3+#REF!*#REF!+G4*AE4+G5*AE5+AE7*G7+AE8*G8+AE9*G9+#REF!*#REF!+G10*AE10+AE11*G11+G12*AE12+AE14*G14+#REF!*#REF!+#REF!*#REF!+#REF!*#REF!+#REF!*#REF!+G20*AE20+G6*AE6+#REF!*#REF!+G16*AE16+G18*AE18)/100</f>
        <v>#REF!</v>
      </c>
      <c r="AF23" s="18" t="e">
        <f>(#REF!*#REF!+#REF!*#REF!+AF3*G3+#REF!*#REF!+G4*AF4+G5*AF5+AF7*G7+AF8*G8+AF9*G9+#REF!*#REF!+G10*AF10+AF11*G11+G12*AF12+AF14*G14+#REF!*#REF!+#REF!*#REF!+#REF!*#REF!+#REF!*#REF!+G20*AF20+G6*AF6+#REF!*#REF!+G16*AF16+G18*AF18)/100</f>
        <v>#REF!</v>
      </c>
      <c r="AG23" s="18" t="e">
        <f>(#REF!*#REF!+#REF!*#REF!+AG3*G3+#REF!*#REF!+G4*AG4+G8*AG8+AG9*G9+#REF!*#REF!+AG10*G10+G11*AG11+G14*AG14+#REF!*#REF!+#REF!*#REF!+#REF!*#REF!+#REF!*#REF!+G6*AG6+#REF!*#REF!+G16*AG16+G18*AG18+G7*AG7+G5*AG5+G12*AG12+G20*AG20)/100</f>
        <v>#REF!</v>
      </c>
      <c r="AH23" s="18" t="e">
        <f>(#REF!*#REF!+#REF!*#REF!+AH3*G3+#REF!*#REF!+G4*AH4+G8*AH8+AH9*G9+#REF!*#REF!+AH10*G10+G11*AH11+G14*AH14+#REF!*#REF!+#REF!*#REF!+#REF!*#REF!+#REF!*#REF!+G6*AH6+#REF!*#REF!+G16*AH16+G18*AH18)/100</f>
        <v>#REF!</v>
      </c>
      <c r="AI23" s="18" t="e">
        <f>(#REF!*#REF!+#REF!*#REF!+AI3*G3+#REF!*#REF!+G4*AI4+G8*AI8+G9*AI9+#REF!*#REF!+G10*AI10+AI11*G11+AI14*G14+#REF!*#REF!+#REF!*#REF!+#REF!*#REF!+#REF!*#REF!+AI6*G6+#REF!*#REF!+G16*AI16+G18*AI18+G19*AI19)/100</f>
        <v>#REF!</v>
      </c>
      <c r="AJ23" s="18" t="e">
        <f>(#REF!*#REF!+#REF!*#REF!+AJ3*G3+#REF!*#REF!+G4*AJ4+G8*AJ8+AJ9*G9+#REF!*#REF!+AJ10*G10+G11*AJ11+G14*AJ14+#REF!*#REF!+#REF!*#REF!+#REF!*#REF!+#REF!*#REF!+G6*AJ6+#REF!*#REF!+G16*AJ16+G18*AJ18)/100</f>
        <v>#REF!</v>
      </c>
      <c r="AK23" s="18" t="e">
        <f>(#REF!*#REF!+#REF!*#REF!+AK3*G3+#REF!*#REF!+G4*AK4+G8*AK8+AK9*G9+#REF!*#REF!+AK10*G10+G11*AK11+G14*AK14+#REF!*#REF!+#REF!*#REF!+#REF!*#REF!+#REF!*#REF!+G6*AK6+#REF!*#REF!+G16*AK16+G18*AK18)/100</f>
        <v>#REF!</v>
      </c>
      <c r="AL23" s="18" t="e">
        <f>(#REF!*#REF!+#REF!*#REF!+AL3*G3+#REF!*#REF!+G4*AL4+G8*AL8+AL9*G9+AL10*G10+AL11*G11+G14*AL14+#REF!*#REF!+#REF!*#REF!+#REF!*#REF!+#REF!*#REF!+G6*AL6+#REF!*#REF!+G16*AL16+G18*AL18+G19*AL19)/100</f>
        <v>#REF!</v>
      </c>
      <c r="AM23" s="18" t="e">
        <f>(#REF!*#REF!+#REF!*#REF!+AM3*G3+#REF!*#REF!+G4*AM4+G8*AM8+AM9*G9+AM10*G10+AM11*G11+G14*AM14+#REF!*#REF!+#REF!*#REF!+#REF!*#REF!+#REF!*#REF!+G6*AM6+#REF!*#REF!+G16*AM16+G18*AM18+G19*AM19)/100</f>
        <v>#REF!</v>
      </c>
      <c r="AN23" s="18" t="e">
        <f>(#REF!*#REF!+#REF!*#REF!+AN3*G3+#REF!*#REF!+G4*AN4+G8*AN8+AN9*G9+AN10*G10+AN11*G11+G14*AN14+#REF!*#REF!+#REF!*#REF!+#REF!*#REF!+#REF!*#REF!+G6*AN6+#REF!*#REF!+G16*AN16+G18*AN18+G19*AN19)/100</f>
        <v>#REF!</v>
      </c>
      <c r="AO23" s="18" t="e">
        <f>(#REF!*#REF!+#REF!*#REF!+AO3*G3+#REF!*#REF!+G4*AO4+G8*AO8+AO9*G9+AO10*G10+AO11*G11+G14*AO14+#REF!*#REF!+#REF!*#REF!+#REF!*#REF!+#REF!*#REF!+G6*AO6+#REF!*#REF!+G16*AO16+G18*AO18+G19*AO19)/100</f>
        <v>#REF!</v>
      </c>
      <c r="AP23" s="18" t="e">
        <f>(#REF!*#REF!+#REF!*#REF!+AP3*G3+#REF!*#REF!+G4*AP4+G8*AP8+AP9*G9+AP10*G10+AP11*G11+G14*AP14+#REF!*#REF!+#REF!*#REF!+#REF!*#REF!+#REF!*#REF!+G6*AP6+#REF!*#REF!+G16*AP16+G18*AP18+G19*AP19)/100</f>
        <v>#REF!</v>
      </c>
      <c r="AQ23" s="18" t="e">
        <f>(#REF!*#REF!+#REF!*#REF!+AQ3*G3+#REF!*#REF!+G4*AQ4+G8*AQ8+AQ9*G9+AQ10*G10+AQ11*G11+G14*AQ14+#REF!*#REF!+#REF!*#REF!+#REF!*#REF!+#REF!*#REF!+G6*AQ6+#REF!*#REF!+G16*AQ16+G18*AQ18)/100</f>
        <v>#REF!</v>
      </c>
      <c r="AR23" s="18" t="e">
        <f>(#REF!*#REF!+#REF!*#REF!+AR3*G3+#REF!*#REF!+G4*AR4+G8*AR8+AR10*G10+AR11*G11+G14*AR14+#REF!*#REF!+#REF!*#REF!+#REF!*#REF!+#REF!*#REF!+G6*AR6+#REF!*#REF!+G16*AR16+G18*AR18)/100</f>
        <v>#REF!</v>
      </c>
      <c r="AS23" s="18" t="e">
        <f>(#REF!*#REF!+#REF!*#REF!+AS3*G3+#REF!*#REF!+G4*AS4+G8*AS8+G10*AS10+AS11*G11+AS14*G14+#REF!*#REF!+#REF!*#REF!+#REF!*#REF!+#REF!*#REF!+AS6*G6+#REF!*#REF!+G16*AS16+G18*AS18+G19*AS19)/100</f>
        <v>#REF!</v>
      </c>
      <c r="AT23" s="18" t="e">
        <f>(#REF!*#REF!+#REF!*#REF!+AT3*G3+#REF!*#REF!+G4*AT4+G10*AT10+AT11*G11+AT14*G14+#REF!*#REF!+#REF!*#REF!+#REF!*#REF!+#REF!*#REF!+AT6*G6+#REF!*#REF!+G16*AT16+G18*AT18+G19*AT19)/100</f>
        <v>#REF!</v>
      </c>
      <c r="AU23" s="18" t="e">
        <f>(#REF!*#REF!+#REF!*#REF!+AU3*G3+#REF!*#REF!+G4*AU4+G10*AU10+AU11*G11+AU14*G14+#REF!*#REF!+#REF!*#REF!+#REF!*#REF!+#REF!*#REF!+AU6*G6+#REF!*#REF!+G16*AU16+G18*AU18+G19*AU19)/100</f>
        <v>#REF!</v>
      </c>
      <c r="AV23" s="18" t="e">
        <f>(#REF!*#REF!+#REF!*#REF!+AV3*G3+#REF!*#REF!+G4*AV4+G10*AV10+AV11*G11+AV14*G14+#REF!*#REF!+#REF!*#REF!+#REF!*#REF!+#REF!*#REF!+AV6*G6+#REF!*#REF!+G16*AV16+G18*AV18+G19*AV19)/100</f>
        <v>#REF!</v>
      </c>
      <c r="AW23" s="18" t="e">
        <f>(#REF!*#REF!+#REF!*#REF!+AW3*G3+#REF!*#REF!+G4*AW4+G10*AW10+AW11*G11+AW14*G14+#REF!*#REF!+#REF!*#REF!+#REF!*#REF!+#REF!*#REF!+AW6*G6+G16*AW16+G18*AW18+G19*AW19)/100</f>
        <v>#REF!</v>
      </c>
      <c r="AX23" s="18" t="e">
        <f>(#REF!*#REF!+#REF!*#REF!+AX3*G3+#REF!*#REF!+G4*AX4+G10*AX10+AX11*G11+AX14*G14+#REF!*#REF!+#REF!*#REF!+#REF!*#REF!+#REF!*#REF!+AX6*G6+G16*AX16+G18*AX18+G19*AX19)/100</f>
        <v>#REF!</v>
      </c>
      <c r="AY23" s="18" t="e">
        <f>(#REF!*#REF!+#REF!*#REF!+AY3*G3+#REF!*#REF!+G4*AY4+G10*AY10+AY11*G11+AY14*G14+#REF!*#REF!+#REF!*#REF!+#REF!*#REF!+#REF!*#REF!+AY6*G6+G16*AY16+G18*AY18+G19*AY19)/100</f>
        <v>#REF!</v>
      </c>
      <c r="AZ23" s="18" t="e">
        <f>(#REF!*#REF!+#REF!*#REF!+AZ3*G3+#REF!*#REF!+G4*AZ4+G10*AZ10+AZ11*G11+AZ14*G14+#REF!*#REF!+#REF!*#REF!+#REF!*#REF!+#REF!*#REF!+AZ6*G6+G16*AZ16+G18*AZ18+G19*AZ19)/100</f>
        <v>#REF!</v>
      </c>
      <c r="BA23" s="18" t="e">
        <f>(#REF!*#REF!+#REF!*#REF!+BA3*G3+#REF!*#REF!+G4*BA4+G10*BA10+BA11*G11+BA14*G14+#REF!*#REF!+#REF!*#REF!+#REF!*#REF!+#REF!*#REF!+BA6*G6+G16*BA16+G18*BA18+G19*BA19)/100</f>
        <v>#REF!</v>
      </c>
      <c r="BB23" s="18" t="e">
        <f>(#REF!*#REF!+#REF!*#REF!+BB3*G3+#REF!*#REF!+G4*BB4+G10*BB10+BB11*G11+BB14*G14+#REF!*#REF!+#REF!*#REF!+#REF!*#REF!+#REF!*#REF!+BB6*G6+G16*BB16+G18*BB18+G19*BB19)/100</f>
        <v>#REF!</v>
      </c>
      <c r="BC23" s="18" t="e">
        <f>(#REF!*#REF!+#REF!*#REF!+BC3*G3+#REF!*#REF!+G4*BC4+G10*BC10+BC11*G11+BC14*G14+#REF!*#REF!+#REF!*#REF!+#REF!*#REF!+#REF!*#REF!+BC6*G6+G16*BC16+G18*BC18+G19*BC19)/100</f>
        <v>#REF!</v>
      </c>
      <c r="BD23" s="18" t="e">
        <f>(#REF!*#REF!+#REF!*#REF!+BD3*G3+#REF!*#REF!+G4*BD4+G10*BD10+G11*BD11+G14*BD14+#REF!*#REF!+#REF!*#REF!+#REF!*#REF!+#REF!*#REF!+G6*BD6+BD16*G16+G18*BD18+G19*BD19)/100</f>
        <v>#REF!</v>
      </c>
      <c r="BE23" s="18" t="e">
        <f>(#REF!*#REF!+#REF!*#REF!+BE3*G3+#REF!*#REF!+G4*BE4+G10*BE10+G14*BE14+#REF!*#REF!+#REF!*#REF!+#REF!*#REF!+#REF!*#REF!+G6*BE6+BE16*G16+G18*BE18+G19*BE19)/100</f>
        <v>#REF!</v>
      </c>
      <c r="BF23" s="18" t="e">
        <f>(#REF!*#REF!+BF3*G3+G4*BF4+G14*BF14+#REF!*#REF!+#REF!*#REF!+#REF!*#REF!+#REF!*#REF!+G6*BF6+BF16*G16+G18*BF18+G19*BF19+G22*BF22+#REF!*#REF!+#REF!*#REF!)/100</f>
        <v>#REF!</v>
      </c>
      <c r="BG23" s="18" t="e">
        <f>(#REF!*#REF!+BG3*G3+G4*BG4+G14*BG14+#REF!*#REF!+#REF!*#REF!+#REF!*#REF!+#REF!*#REF!+G6*BG6+BG16*G16+G18*BG18+G19*BG19+G22*BG22+#REF!*#REF!+#REF!*#REF!)/100</f>
        <v>#REF!</v>
      </c>
      <c r="BH23" s="18" t="e">
        <f>(#REF!*#REF!+BH3*G3+G4*BH4+G14*BH14+#REF!*#REF!+#REF!*#REF!+#REF!*#REF!+#REF!*#REF!+G6*BH6+BH16*G16+G18*BH18+G19*BH19+G22*BH22+#REF!*#REF!+#REF!*#REF!)/100</f>
        <v>#REF!</v>
      </c>
      <c r="BI23" s="19" t="e">
        <f>(#REF!*#REF!+BI3*G3+G4*BI4+G14*BI14+#REF!*#REF!+#REF!*#REF!+#REF!*#REF!+#REF!*#REF!+G6*BI6+BI16*G16+G18*BI18+G19*BI19+G22*BI22+#REF!*#REF!+#REF!*#REF!)/100</f>
        <v>#REF!</v>
      </c>
      <c r="BJ23" s="18" t="e">
        <f>(#REF!*#REF!+BJ3*G3+G4*BJ4+G14*BJ14+#REF!*#REF!+#REF!*#REF!+#REF!*#REF!+#REF!*#REF!+G6*BJ6+BJ16*G16+G18*BJ18+G19*BJ19+G22*BJ22+#REF!*#REF!+#REF!*#REF!)/100</f>
        <v>#REF!</v>
      </c>
      <c r="BK23" s="18" t="e">
        <f>(#REF!*#REF!+BK3*G3+G14*BK14+#REF!*#REF!+#REF!*#REF!+#REF!*#REF!+#REF!*#REF!+G6*BK6+BK16*G16+G18*BK18+G19*BK19+G22*BK22+#REF!*#REF!+#REF!*#REF!)/100</f>
        <v>#REF!</v>
      </c>
      <c r="BL23" s="18" t="e">
        <f>(#REF!*#REF!+BL3*G3+G14*BL14+#REF!*#REF!+#REF!*#REF!+#REF!*#REF!+#REF!*#REF!+G6*BL6+BL16*G16+G18*BL18+G19*BL19+G22*BL22+#REF!*#REF!+#REF!*#REF!)/100</f>
        <v>#REF!</v>
      </c>
      <c r="BM23" s="18" t="e">
        <f>(#REF!*#REF!+BM3*G3+G14*BM14+#REF!*#REF!+#REF!*#REF!+#REF!*#REF!+#REF!*#REF!+G6*BM6+BM16*G16+G18*BM18+G19*BM19+G22*BM22+#REF!*#REF!+#REF!*#REF!)/100</f>
        <v>#REF!</v>
      </c>
      <c r="BN23" s="8"/>
      <c r="BO23" s="8"/>
      <c r="BP23" s="8"/>
      <c r="BQ23" s="8"/>
      <c r="BT23" s="13">
        <f>434.9+62.57</f>
        <v>497.46999999999997</v>
      </c>
    </row>
    <row r="24" spans="1:72" ht="44.25" customHeight="1" thickBot="1" x14ac:dyDescent="0.3">
      <c r="A24" s="14"/>
      <c r="B24" s="14"/>
      <c r="C24" s="14"/>
      <c r="D24" s="14"/>
      <c r="E24" s="14"/>
      <c r="F24" s="14"/>
      <c r="G24" s="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8">
        <f>SUM(BN2:BN20)</f>
        <v>14085.376400000001</v>
      </c>
      <c r="BO24" s="18">
        <f>SUM(BO2:BO20)</f>
        <v>14387.030600000002</v>
      </c>
      <c r="BP24" s="20">
        <f>BO24-BN24</f>
        <v>301.65420000000086</v>
      </c>
      <c r="BQ24" s="8">
        <f>((BO24-BN24)/BN24)*100</f>
        <v>2.1416126302453717</v>
      </c>
      <c r="BT24" s="13">
        <f>SUM(BT5:BT23)</f>
        <v>799.12419999999997</v>
      </c>
    </row>
    <row r="25" spans="1:72" x14ac:dyDescent="0.25">
      <c r="BN25" s="13">
        <v>12034.32</v>
      </c>
    </row>
  </sheetData>
  <conditionalFormatting sqref="D2:D13">
    <cfRule type="expression" dxfId="11" priority="10">
      <formula>D2:D45="למכור בהפסד"</formula>
    </cfRule>
    <cfRule type="expression" dxfId="10" priority="11">
      <formula>D2:D45="לשמור"</formula>
    </cfRule>
    <cfRule type="expression" dxfId="9" priority="12">
      <formula>D2:D45="למכור ברווח"</formula>
    </cfRule>
  </conditionalFormatting>
  <conditionalFormatting sqref="D14:D19">
    <cfRule type="expression" dxfId="8" priority="4">
      <formula>D14:D56="למכור בהפסד"</formula>
    </cfRule>
    <cfRule type="expression" dxfId="7" priority="5">
      <formula>D14:D56="לשמור"</formula>
    </cfRule>
    <cfRule type="expression" dxfId="6" priority="6">
      <formula>D14:D56="למכור ברווח"</formula>
    </cfRule>
  </conditionalFormatting>
  <conditionalFormatting sqref="D20">
    <cfRule type="expression" dxfId="5" priority="7">
      <formula>D15:D31="למכור בהפסד"</formula>
    </cfRule>
    <cfRule type="expression" dxfId="4" priority="8">
      <formula>D15:D31="לשמור"</formula>
    </cfRule>
    <cfRule type="expression" dxfId="3" priority="9">
      <formula>D15:D31="למכור ברווח"</formula>
    </cfRule>
  </conditionalFormatting>
  <conditionalFormatting sqref="D22">
    <cfRule type="expression" dxfId="2" priority="1">
      <formula>D22:D30="למכור בהפסד"</formula>
    </cfRule>
    <cfRule type="expression" dxfId="1" priority="2">
      <formula>D22:D30="לשמור"</formula>
    </cfRule>
    <cfRule type="expression" dxfId="0" priority="3">
      <formula>D22:D30="למכור ברווח"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התיק העדכני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Digiprint</dc:creator>
  <cp:lastModifiedBy>Bts Digiprint</cp:lastModifiedBy>
  <dcterms:created xsi:type="dcterms:W3CDTF">2026-01-29T07:10:48Z</dcterms:created>
  <dcterms:modified xsi:type="dcterms:W3CDTF">2026-01-29T07:13:16Z</dcterms:modified>
</cp:coreProperties>
</file>