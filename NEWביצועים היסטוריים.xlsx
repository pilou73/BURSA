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1331254-424C-43B1-B8DE-D8E184B85F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ביצועים היסטוריים" sheetId="1" r:id="rId1"/>
  </sheets>
  <calcPr calcId="191029"/>
</workbook>
</file>

<file path=xl/calcChain.xml><?xml version="1.0" encoding="utf-8"?>
<calcChain xmlns="http://schemas.openxmlformats.org/spreadsheetml/2006/main">
  <c r="P9" i="1" l="1"/>
  <c r="N9" i="1"/>
  <c r="M9" i="1"/>
</calcChain>
</file>

<file path=xl/sharedStrings.xml><?xml version="1.0" encoding="utf-8"?>
<sst xmlns="http://schemas.openxmlformats.org/spreadsheetml/2006/main" count="1001" uniqueCount="134">
  <si>
    <t>ביצועים היסטוריים</t>
  </si>
  <si>
    <r>
      <rPr>
        <sz val="14"/>
        <rFont val="Arial"/>
        <family val="2"/>
      </rPr>
      <t xml:space="preserve">חשבון: </t>
    </r>
    <r>
      <rPr>
        <b/>
        <sz val="14"/>
        <rFont val="Arial"/>
        <family val="2"/>
      </rPr>
      <t>773-137981</t>
    </r>
  </si>
  <si>
    <r>
      <rPr>
        <sz val="14"/>
        <rFont val="Arial"/>
        <family val="2"/>
      </rPr>
      <t xml:space="preserve">תאריך הפקת הקובץ: </t>
    </r>
    <r>
      <rPr>
        <b/>
        <sz val="14"/>
        <rFont val="Arial"/>
        <family val="2"/>
      </rPr>
      <t>08/03/2026</t>
    </r>
  </si>
  <si>
    <r>
      <rPr>
        <sz val="14"/>
        <rFont val="Arial"/>
        <family val="2"/>
      </rPr>
      <t xml:space="preserve">תאריך נכונות הנתונים: </t>
    </r>
    <r>
      <rPr>
        <b/>
        <sz val="14"/>
        <rFont val="Arial"/>
        <family val="2"/>
      </rPr>
      <t>08/03/2026</t>
    </r>
  </si>
  <si>
    <r>
      <rPr>
        <sz val="14"/>
        <rFont val="Arial"/>
        <family val="2"/>
      </rPr>
      <t xml:space="preserve">תאריכים הנכללים בתקופה: </t>
    </r>
    <r>
      <rPr>
        <b/>
        <sz val="14"/>
        <rFont val="Arial"/>
        <family val="2"/>
      </rPr>
      <t>07/03/2025 עד 07/03/2026</t>
    </r>
  </si>
  <si>
    <t>שם נייר</t>
  </si>
  <si>
    <t>מספר סניף וחשבון</t>
  </si>
  <si>
    <t>סוג פעולה</t>
  </si>
  <si>
    <t>תאריך נכונות</t>
  </si>
  <si>
    <t>קבוצת נייר</t>
  </si>
  <si>
    <t>כמות</t>
  </si>
  <si>
    <t>שער העיסקה</t>
  </si>
  <si>
    <t>סכום עיסקה ברוטו במטבע העיסקה</t>
  </si>
  <si>
    <t>מטבע העיסקה</t>
  </si>
  <si>
    <t>סכום עיסקה נטו בש"ח</t>
  </si>
  <si>
    <t>סכום עיסקה נטו מט"ח</t>
  </si>
  <si>
    <t>מטבע התחשבנות</t>
  </si>
  <si>
    <t>רווח נומינלי בש"ח</t>
  </si>
  <si>
    <t>סכום מס בארץ (במטבע התחשבנות)</t>
  </si>
  <si>
    <t>סכום מס בחו"ל (במטבע תשלום)</t>
  </si>
  <si>
    <t>סכום עמלת פעולה בש"ח</t>
  </si>
  <si>
    <t>בונוס ביוגרופ  מר</t>
  </si>
  <si>
    <t>773-137981</t>
  </si>
  <si>
    <t>מכירה</t>
  </si>
  <si>
    <t>08/03/2026</t>
  </si>
  <si>
    <t>מניות</t>
  </si>
  <si>
    <t>שקל חדש</t>
  </si>
  <si>
    <t>עין שלישית</t>
  </si>
  <si>
    <t>קניה</t>
  </si>
  <si>
    <t>06/03/2026</t>
  </si>
  <si>
    <t>אייראנ</t>
  </si>
  <si>
    <t>טאואר סמיקונדקטור בעמ מר 1</t>
  </si>
  <si>
    <t>05/03/2026</t>
  </si>
  <si>
    <t>קסם KTF י(4A)י MarketVector תע</t>
  </si>
  <si>
    <t>קרן נאמנות</t>
  </si>
  <si>
    <t>אירודרום קבוצה</t>
  </si>
  <si>
    <t>04/03/2026</t>
  </si>
  <si>
    <t>ROBLOX CORP -CLASS A</t>
  </si>
  <si>
    <t>02/03/2026</t>
  </si>
  <si>
    <t>מניות ניעז</t>
  </si>
  <si>
    <t>דולר ארהב</t>
  </si>
  <si>
    <t>25/02/2026</t>
  </si>
  <si>
    <t>24/02/2026</t>
  </si>
  <si>
    <t>ברק ()60 אולטרה תא 35 פי 3</t>
  </si>
  <si>
    <t>סטורג' דרופ טכנולוגיות אחסון -</t>
  </si>
  <si>
    <t>22/02/2026</t>
  </si>
  <si>
    <t>20/02/2026</t>
  </si>
  <si>
    <t>דוראל אנרגיה</t>
  </si>
  <si>
    <t>מיקרונט בעמ</t>
  </si>
  <si>
    <t>19/02/2026</t>
  </si>
  <si>
    <t>15/02/2026</t>
  </si>
  <si>
    <t>MTF סל אנד אנר מתחד ישראל</t>
  </si>
  <si>
    <t>13/02/2026</t>
  </si>
  <si>
    <t>אקסונז ויז'ן</t>
  </si>
  <si>
    <t>11/02/2026</t>
  </si>
  <si>
    <t>אימקו תעשיות בעמ</t>
  </si>
  <si>
    <t>10/02/2026</t>
  </si>
  <si>
    <t>06/02/2026</t>
  </si>
  <si>
    <t>03/02/2026</t>
  </si>
  <si>
    <t>MTF מחקה ()4A אינדקס תעשיה ישר</t>
  </si>
  <si>
    <t>01/02/2026</t>
  </si>
  <si>
    <t>נקסט ויז'</t>
  </si>
  <si>
    <t>30/01/2026</t>
  </si>
  <si>
    <t>28/01/2026</t>
  </si>
  <si>
    <t>טבע תעשיות פרמצבטיות מר 0.1 ש</t>
  </si>
  <si>
    <t>27/01/2026</t>
  </si>
  <si>
    <t>25/01/2026</t>
  </si>
  <si>
    <t>23/01/2026</t>
  </si>
  <si>
    <t>הראל סל ()4A תא 125</t>
  </si>
  <si>
    <t>21/01/2026</t>
  </si>
  <si>
    <t>20/01/2026</t>
  </si>
  <si>
    <t>מור השקעות</t>
  </si>
  <si>
    <t>18/01/2026</t>
  </si>
  <si>
    <t>משק אנרגיה</t>
  </si>
  <si>
    <t>16/01/2026</t>
  </si>
  <si>
    <t>15/01/2026</t>
  </si>
  <si>
    <t>ארית תעשיות מר 1</t>
  </si>
  <si>
    <t>14/01/2026</t>
  </si>
  <si>
    <t>08/01/2026</t>
  </si>
  <si>
    <t>תכלית סל (40)תא נפט וגז</t>
  </si>
  <si>
    <t>תכלית TTF' )4B)אינדקס שוק ההון</t>
  </si>
  <si>
    <t>06/01/2026</t>
  </si>
  <si>
    <t>07/01/2026</t>
  </si>
  <si>
    <t>mtf מחקהי(4D)י estar Artificia</t>
  </si>
  <si>
    <t>02/01/2026</t>
  </si>
  <si>
    <t>קסם. S&amp;P 500 )4A( ETF ממ</t>
  </si>
  <si>
    <t>מגדל מעוף כפליים ממונפת</t>
  </si>
  <si>
    <t>MTF מחקה ()4D אינדקס al Metals</t>
  </si>
  <si>
    <t>30/12/2025</t>
  </si>
  <si>
    <t>ISHARES MSCI GLOBAL SILVER M</t>
  </si>
  <si>
    <t>תעודת סל ETF ניעז</t>
  </si>
  <si>
    <t>קסם )4A( ETF תא - ביטוח</t>
  </si>
  <si>
    <t>29/12/2025</t>
  </si>
  <si>
    <t>קסם )4A( ETF תא פיננסים</t>
  </si>
  <si>
    <t>איילון(6a)אקסטרים תא 125 פי 3</t>
  </si>
  <si>
    <t>איילון ()60 אקסטרים תא 35 פי3</t>
  </si>
  <si>
    <t>26/12/2025</t>
  </si>
  <si>
    <t>איילון ()6A אקסטרים בנקים פי 3</t>
  </si>
  <si>
    <t>23/12/2025</t>
  </si>
  <si>
    <t>22/12/2025</t>
  </si>
  <si>
    <t>בנק הפועלים מר  1 ש</t>
  </si>
  <si>
    <t>19/12/2025</t>
  </si>
  <si>
    <t>קסם )4A( ETF תא 125</t>
  </si>
  <si>
    <t>קסם )4A( ETF תא נפט וגז</t>
  </si>
  <si>
    <t>דבידנד תשלום</t>
  </si>
  <si>
    <t>17/12/2025</t>
  </si>
  <si>
    <t>15/12/2025</t>
  </si>
  <si>
    <t>מיטב בית השקעות בעמ</t>
  </si>
  <si>
    <t>12/12/2025</t>
  </si>
  <si>
    <t>08/12/2025</t>
  </si>
  <si>
    <t>09/12/2025</t>
  </si>
  <si>
    <t>05/12/2025</t>
  </si>
  <si>
    <t>04/12/2025</t>
  </si>
  <si>
    <t>02/12/2025</t>
  </si>
  <si>
    <t>28/11/2025</t>
  </si>
  <si>
    <t>27/11/2025</t>
  </si>
  <si>
    <t>20/11/2025</t>
  </si>
  <si>
    <t>אילים (4D)מניות AI בינה מלאכות</t>
  </si>
  <si>
    <t>18/11/2025</t>
  </si>
  <si>
    <t>19/11/2025</t>
  </si>
  <si>
    <t>MTF סל ()4A תא - טכנולוגיה</t>
  </si>
  <si>
    <t>LEVERAGE SHARES 4X LONG SEMICO</t>
  </si>
  <si>
    <t>14/11/2025</t>
  </si>
  <si>
    <t>11/11/2025</t>
  </si>
  <si>
    <t>12/11/2025</t>
  </si>
  <si>
    <t>10/11/2025</t>
  </si>
  <si>
    <t>07/11/2025</t>
  </si>
  <si>
    <t>06/11/2025</t>
  </si>
  <si>
    <t>05/11/2025</t>
  </si>
  <si>
    <t>03/11/2025</t>
  </si>
  <si>
    <t>31/10/2025</t>
  </si>
  <si>
    <t>30/10/2025</t>
  </si>
  <si>
    <t>19/09/2025</t>
  </si>
  <si>
    <t>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</si>
</sst>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114285</xdr:colOff>
      <xdr:row>0</xdr:row>
      <xdr:rowOff>33333</xdr:rowOff>
    </xdr:from>
    <xdr:ext cx="1905000" cy="317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rightToLeft="1" tabSelected="1" topLeftCell="B1" workbookViewId="0">
      <selection activeCell="P9" sqref="P9"/>
    </sheetView>
  </sheetViews>
  <sheetFormatPr defaultRowHeight="15" x14ac:dyDescent="0.25"/>
  <cols>
    <col min="1" max="1" width="39" customWidth="1"/>
    <col min="2" max="4" width="17" customWidth="1"/>
    <col min="5" max="5" width="26" customWidth="1"/>
    <col min="6" max="16" width="17" customWidth="1"/>
  </cols>
  <sheetData>
    <row r="1" spans="1:16" ht="16.7" customHeight="1" x14ac:dyDescent="0.25"/>
    <row r="2" spans="1:16" ht="16.7" customHeight="1" x14ac:dyDescent="0.25"/>
    <row r="4" spans="1:16" s="1" customFormat="1" ht="27.75" x14ac:dyDescent="0.4">
      <c r="A4" s="1" t="s">
        <v>0</v>
      </c>
    </row>
    <row r="5" spans="1:16" ht="18" x14ac:dyDescent="0.25">
      <c r="A5" s="2" t="s">
        <v>1</v>
      </c>
    </row>
    <row r="6" spans="1:16" ht="18" x14ac:dyDescent="0.25">
      <c r="A6" s="2" t="s">
        <v>2</v>
      </c>
    </row>
    <row r="7" spans="1:16" ht="18" x14ac:dyDescent="0.25">
      <c r="A7" s="2" t="s">
        <v>3</v>
      </c>
    </row>
    <row r="9" spans="1:16" ht="18" x14ac:dyDescent="0.25">
      <c r="A9" t="s">
        <v>4</v>
      </c>
      <c r="M9" s="7">
        <f>SUM(M12:M151)</f>
        <v>1623.5300000000004</v>
      </c>
      <c r="N9" s="7">
        <f>SUM(N12:N151)</f>
        <v>406.06000000000006</v>
      </c>
      <c r="P9" s="7">
        <f>SUM(P12:P151)</f>
        <v>188.45999999999998</v>
      </c>
    </row>
    <row r="11" spans="1:16" ht="72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  <c r="M11" s="3" t="s">
        <v>17</v>
      </c>
      <c r="N11" s="3" t="s">
        <v>18</v>
      </c>
      <c r="O11" s="3" t="s">
        <v>19</v>
      </c>
      <c r="P11" s="3" t="s">
        <v>20</v>
      </c>
    </row>
    <row r="12" spans="1:16" ht="18" x14ac:dyDescent="0.25">
      <c r="A12" s="4" t="s">
        <v>21</v>
      </c>
      <c r="B12" s="4" t="s">
        <v>22</v>
      </c>
      <c r="C12" s="4" t="s">
        <v>23</v>
      </c>
      <c r="D12" s="4" t="s">
        <v>24</v>
      </c>
      <c r="E12" s="4" t="s">
        <v>25</v>
      </c>
      <c r="F12" s="5">
        <v>400</v>
      </c>
      <c r="G12" s="6">
        <v>41.5</v>
      </c>
      <c r="H12" s="5">
        <v>166</v>
      </c>
      <c r="I12" s="4" t="s">
        <v>26</v>
      </c>
      <c r="J12" s="6">
        <v>173.14</v>
      </c>
      <c r="K12" s="5">
        <v>0</v>
      </c>
      <c r="L12" s="4" t="s">
        <v>26</v>
      </c>
      <c r="M12" s="6">
        <v>-29.11</v>
      </c>
      <c r="N12" s="6">
        <v>-7.28</v>
      </c>
      <c r="O12" s="5">
        <v>0</v>
      </c>
      <c r="P12" s="6">
        <v>0.14000000000000001</v>
      </c>
    </row>
    <row r="13" spans="1:16" ht="18" x14ac:dyDescent="0.25">
      <c r="A13" s="4" t="s">
        <v>27</v>
      </c>
      <c r="B13" s="4" t="s">
        <v>22</v>
      </c>
      <c r="C13" s="4" t="s">
        <v>28</v>
      </c>
      <c r="D13" s="4" t="s">
        <v>29</v>
      </c>
      <c r="E13" s="4" t="s">
        <v>25</v>
      </c>
      <c r="F13" s="5">
        <v>20</v>
      </c>
      <c r="G13" s="5">
        <v>1066</v>
      </c>
      <c r="H13" s="6">
        <v>213.2</v>
      </c>
      <c r="I13" s="4" t="s">
        <v>26</v>
      </c>
      <c r="J13" s="6">
        <v>-213.38</v>
      </c>
      <c r="K13" s="5">
        <v>0</v>
      </c>
      <c r="L13" s="4" t="s">
        <v>26</v>
      </c>
      <c r="M13" s="5">
        <v>0</v>
      </c>
      <c r="N13" s="5">
        <v>0</v>
      </c>
      <c r="O13" s="5">
        <v>0</v>
      </c>
      <c r="P13" s="6">
        <v>0.18</v>
      </c>
    </row>
    <row r="14" spans="1:16" ht="18" x14ac:dyDescent="0.25">
      <c r="A14" s="4" t="s">
        <v>30</v>
      </c>
      <c r="B14" s="4" t="s">
        <v>22</v>
      </c>
      <c r="C14" s="4" t="s">
        <v>23</v>
      </c>
      <c r="D14" s="4" t="s">
        <v>29</v>
      </c>
      <c r="E14" s="4" t="s">
        <v>25</v>
      </c>
      <c r="F14" s="5">
        <v>24</v>
      </c>
      <c r="G14" s="5">
        <v>660</v>
      </c>
      <c r="H14" s="6">
        <v>158.4</v>
      </c>
      <c r="I14" s="4" t="s">
        <v>26</v>
      </c>
      <c r="J14" s="6">
        <v>174.85</v>
      </c>
      <c r="K14" s="5">
        <v>0</v>
      </c>
      <c r="L14" s="4" t="s">
        <v>26</v>
      </c>
      <c r="M14" s="6">
        <v>-66.33</v>
      </c>
      <c r="N14" s="6">
        <v>-16.579999999999998</v>
      </c>
      <c r="O14" s="5">
        <v>0</v>
      </c>
      <c r="P14" s="6">
        <v>0.13</v>
      </c>
    </row>
    <row r="15" spans="1:16" ht="18" x14ac:dyDescent="0.25">
      <c r="A15" s="4" t="s">
        <v>31</v>
      </c>
      <c r="B15" s="4" t="s">
        <v>22</v>
      </c>
      <c r="C15" s="4" t="s">
        <v>23</v>
      </c>
      <c r="D15" s="4" t="s">
        <v>32</v>
      </c>
      <c r="E15" s="4" t="s">
        <v>25</v>
      </c>
      <c r="F15" s="5">
        <v>1</v>
      </c>
      <c r="G15" s="5">
        <v>39540</v>
      </c>
      <c r="H15" s="6">
        <v>395.4</v>
      </c>
      <c r="I15" s="4" t="s">
        <v>26</v>
      </c>
      <c r="J15" s="6">
        <v>388.37</v>
      </c>
      <c r="K15" s="5">
        <v>0</v>
      </c>
      <c r="L15" s="4" t="s">
        <v>26</v>
      </c>
      <c r="M15" s="6">
        <v>26.75</v>
      </c>
      <c r="N15" s="6">
        <v>6.69</v>
      </c>
      <c r="O15" s="5">
        <v>0</v>
      </c>
      <c r="P15" s="6">
        <v>0.34</v>
      </c>
    </row>
    <row r="16" spans="1:16" ht="18" x14ac:dyDescent="0.25">
      <c r="A16" s="4" t="s">
        <v>33</v>
      </c>
      <c r="B16" s="4" t="s">
        <v>22</v>
      </c>
      <c r="C16" s="4" t="s">
        <v>28</v>
      </c>
      <c r="D16" s="4" t="s">
        <v>32</v>
      </c>
      <c r="E16" s="4" t="s">
        <v>34</v>
      </c>
      <c r="F16" s="5">
        <v>500</v>
      </c>
      <c r="G16" s="6">
        <v>108.53</v>
      </c>
      <c r="H16" s="6">
        <v>542.65</v>
      </c>
      <c r="I16" s="4" t="s">
        <v>26</v>
      </c>
      <c r="J16" s="6">
        <v>-543.11</v>
      </c>
      <c r="K16" s="5">
        <v>0</v>
      </c>
      <c r="L16" s="4" t="s">
        <v>26</v>
      </c>
      <c r="M16" s="5">
        <v>0</v>
      </c>
      <c r="N16" s="5">
        <v>0</v>
      </c>
      <c r="O16" s="5">
        <v>0</v>
      </c>
      <c r="P16" s="6">
        <v>0.46</v>
      </c>
    </row>
    <row r="17" spans="1:16" ht="18" x14ac:dyDescent="0.25">
      <c r="A17" s="4" t="s">
        <v>35</v>
      </c>
      <c r="B17" s="4" t="s">
        <v>22</v>
      </c>
      <c r="C17" s="4" t="s">
        <v>23</v>
      </c>
      <c r="D17" s="4" t="s">
        <v>36</v>
      </c>
      <c r="E17" s="4" t="s">
        <v>25</v>
      </c>
      <c r="F17" s="5">
        <v>600</v>
      </c>
      <c r="G17" s="5">
        <v>62</v>
      </c>
      <c r="H17" s="5">
        <v>372</v>
      </c>
      <c r="I17" s="4" t="s">
        <v>26</v>
      </c>
      <c r="J17" s="6">
        <v>391.21</v>
      </c>
      <c r="K17" s="5">
        <v>0</v>
      </c>
      <c r="L17" s="4" t="s">
        <v>26</v>
      </c>
      <c r="M17" s="6">
        <v>-78.11</v>
      </c>
      <c r="N17" s="6">
        <v>-19.53</v>
      </c>
      <c r="O17" s="5">
        <v>0</v>
      </c>
      <c r="P17" s="6">
        <v>0.32</v>
      </c>
    </row>
    <row r="18" spans="1:16" ht="18" x14ac:dyDescent="0.25">
      <c r="A18" s="4" t="s">
        <v>37</v>
      </c>
      <c r="B18" s="4" t="s">
        <v>22</v>
      </c>
      <c r="C18" s="4" t="s">
        <v>28</v>
      </c>
      <c r="D18" s="4" t="s">
        <v>38</v>
      </c>
      <c r="E18" s="4" t="s">
        <v>39</v>
      </c>
      <c r="F18" s="5">
        <v>3</v>
      </c>
      <c r="G18" s="5">
        <v>70</v>
      </c>
      <c r="H18" s="5">
        <v>210</v>
      </c>
      <c r="I18" s="4" t="s">
        <v>40</v>
      </c>
      <c r="J18" s="6">
        <v>-682.71</v>
      </c>
      <c r="K18" s="5">
        <v>0</v>
      </c>
      <c r="L18" s="4" t="s">
        <v>26</v>
      </c>
      <c r="M18" s="5">
        <v>0</v>
      </c>
      <c r="N18" s="5">
        <v>0</v>
      </c>
      <c r="O18" s="5">
        <v>0</v>
      </c>
      <c r="P18" s="6">
        <v>31.22</v>
      </c>
    </row>
    <row r="19" spans="1:16" ht="18" x14ac:dyDescent="0.25">
      <c r="A19" s="4" t="s">
        <v>21</v>
      </c>
      <c r="B19" s="4" t="s">
        <v>22</v>
      </c>
      <c r="C19" s="4" t="s">
        <v>28</v>
      </c>
      <c r="D19" s="4" t="s">
        <v>41</v>
      </c>
      <c r="E19" s="4" t="s">
        <v>25</v>
      </c>
      <c r="F19" s="5">
        <v>400</v>
      </c>
      <c r="G19" s="6">
        <v>48.7</v>
      </c>
      <c r="H19" s="6">
        <v>194.8</v>
      </c>
      <c r="I19" s="4" t="s">
        <v>26</v>
      </c>
      <c r="J19" s="6">
        <v>-194.97</v>
      </c>
      <c r="K19" s="5">
        <v>0</v>
      </c>
      <c r="L19" s="4" t="s">
        <v>26</v>
      </c>
      <c r="M19" s="5">
        <v>0</v>
      </c>
      <c r="N19" s="5">
        <v>0</v>
      </c>
      <c r="O19" s="5">
        <v>0</v>
      </c>
      <c r="P19" s="6">
        <v>0.17</v>
      </c>
    </row>
    <row r="20" spans="1:16" ht="18" x14ac:dyDescent="0.25">
      <c r="A20" s="4" t="s">
        <v>27</v>
      </c>
      <c r="B20" s="4" t="s">
        <v>22</v>
      </c>
      <c r="C20" s="4" t="s">
        <v>28</v>
      </c>
      <c r="D20" s="4" t="s">
        <v>42</v>
      </c>
      <c r="E20" s="4" t="s">
        <v>25</v>
      </c>
      <c r="F20" s="5">
        <v>50</v>
      </c>
      <c r="G20" s="5">
        <v>967</v>
      </c>
      <c r="H20" s="6">
        <v>483.5</v>
      </c>
      <c r="I20" s="4" t="s">
        <v>26</v>
      </c>
      <c r="J20" s="6">
        <v>-483.91</v>
      </c>
      <c r="K20" s="5">
        <v>0</v>
      </c>
      <c r="L20" s="4" t="s">
        <v>26</v>
      </c>
      <c r="M20" s="5">
        <v>0</v>
      </c>
      <c r="N20" s="5">
        <v>0</v>
      </c>
      <c r="O20" s="5">
        <v>0</v>
      </c>
      <c r="P20" s="6">
        <v>0.41</v>
      </c>
    </row>
    <row r="21" spans="1:16" ht="18" x14ac:dyDescent="0.25">
      <c r="A21" s="4" t="s">
        <v>43</v>
      </c>
      <c r="B21" s="4" t="s">
        <v>22</v>
      </c>
      <c r="C21" s="4" t="s">
        <v>28</v>
      </c>
      <c r="D21" s="4" t="s">
        <v>42</v>
      </c>
      <c r="E21" s="4" t="s">
        <v>34</v>
      </c>
      <c r="F21" s="5">
        <v>50</v>
      </c>
      <c r="G21" s="6">
        <v>451.93</v>
      </c>
      <c r="H21" s="6">
        <v>225.97</v>
      </c>
      <c r="I21" s="4" t="s">
        <v>26</v>
      </c>
      <c r="J21" s="6">
        <v>-225.97</v>
      </c>
      <c r="K21" s="5">
        <v>0</v>
      </c>
      <c r="L21" s="4" t="s">
        <v>26</v>
      </c>
      <c r="M21" s="5">
        <v>0</v>
      </c>
      <c r="N21" s="5">
        <v>0</v>
      </c>
      <c r="O21" s="5">
        <v>0</v>
      </c>
      <c r="P21" s="5">
        <v>0</v>
      </c>
    </row>
    <row r="22" spans="1:16" ht="18" x14ac:dyDescent="0.25">
      <c r="A22" s="4" t="s">
        <v>44</v>
      </c>
      <c r="B22" s="4" t="s">
        <v>22</v>
      </c>
      <c r="C22" s="4" t="s">
        <v>23</v>
      </c>
      <c r="D22" s="4" t="s">
        <v>45</v>
      </c>
      <c r="E22" s="4" t="s">
        <v>25</v>
      </c>
      <c r="F22" s="5">
        <v>300</v>
      </c>
      <c r="G22" s="6">
        <v>68.5</v>
      </c>
      <c r="H22" s="6">
        <v>205.5</v>
      </c>
      <c r="I22" s="4" t="s">
        <v>26</v>
      </c>
      <c r="J22" s="6">
        <v>223.91</v>
      </c>
      <c r="K22" s="5">
        <v>0</v>
      </c>
      <c r="L22" s="4" t="s">
        <v>26</v>
      </c>
      <c r="M22" s="6">
        <v>-74.319999999999993</v>
      </c>
      <c r="N22" s="6">
        <v>-18.579999999999998</v>
      </c>
      <c r="O22" s="5">
        <v>0</v>
      </c>
      <c r="P22" s="6">
        <v>0.17</v>
      </c>
    </row>
    <row r="23" spans="1:16" ht="18" x14ac:dyDescent="0.25">
      <c r="A23" s="4" t="s">
        <v>30</v>
      </c>
      <c r="B23" s="4" t="s">
        <v>22</v>
      </c>
      <c r="C23" s="4" t="s">
        <v>28</v>
      </c>
      <c r="D23" s="4" t="s">
        <v>46</v>
      </c>
      <c r="E23" s="4" t="s">
        <v>25</v>
      </c>
      <c r="F23" s="5">
        <v>100</v>
      </c>
      <c r="G23" s="5">
        <v>935</v>
      </c>
      <c r="H23" s="5">
        <v>935</v>
      </c>
      <c r="I23" s="4" t="s">
        <v>26</v>
      </c>
      <c r="J23" s="6">
        <v>-935.79</v>
      </c>
      <c r="K23" s="5">
        <v>0</v>
      </c>
      <c r="L23" s="4" t="s">
        <v>26</v>
      </c>
      <c r="M23" s="5">
        <v>0</v>
      </c>
      <c r="N23" s="5">
        <v>0</v>
      </c>
      <c r="O23" s="5">
        <v>0</v>
      </c>
      <c r="P23" s="6">
        <v>0.79</v>
      </c>
    </row>
    <row r="24" spans="1:16" ht="18" x14ac:dyDescent="0.25">
      <c r="A24" s="4" t="s">
        <v>47</v>
      </c>
      <c r="B24" s="4" t="s">
        <v>22</v>
      </c>
      <c r="C24" s="4" t="s">
        <v>28</v>
      </c>
      <c r="D24" s="4" t="s">
        <v>46</v>
      </c>
      <c r="E24" s="4" t="s">
        <v>25</v>
      </c>
      <c r="F24" s="5">
        <v>5</v>
      </c>
      <c r="G24" s="5">
        <v>6159</v>
      </c>
      <c r="H24" s="6">
        <v>307.95</v>
      </c>
      <c r="I24" s="4" t="s">
        <v>26</v>
      </c>
      <c r="J24" s="6">
        <v>-308.20999999999998</v>
      </c>
      <c r="K24" s="5">
        <v>0</v>
      </c>
      <c r="L24" s="4" t="s">
        <v>26</v>
      </c>
      <c r="M24" s="5">
        <v>0</v>
      </c>
      <c r="N24" s="5">
        <v>0</v>
      </c>
      <c r="O24" s="5">
        <v>0</v>
      </c>
      <c r="P24" s="6">
        <v>0.26</v>
      </c>
    </row>
    <row r="25" spans="1:16" ht="18" x14ac:dyDescent="0.25">
      <c r="A25" s="4" t="s">
        <v>48</v>
      </c>
      <c r="B25" s="4" t="s">
        <v>22</v>
      </c>
      <c r="C25" s="4" t="s">
        <v>23</v>
      </c>
      <c r="D25" s="4" t="s">
        <v>49</v>
      </c>
      <c r="E25" s="4" t="s">
        <v>25</v>
      </c>
      <c r="F25" s="5">
        <v>18</v>
      </c>
      <c r="G25" s="6">
        <v>541.29999999999995</v>
      </c>
      <c r="H25" s="6">
        <v>97.43</v>
      </c>
      <c r="I25" s="4" t="s">
        <v>26</v>
      </c>
      <c r="J25" s="6">
        <v>100.93</v>
      </c>
      <c r="K25" s="5">
        <v>0</v>
      </c>
      <c r="L25" s="4" t="s">
        <v>26</v>
      </c>
      <c r="M25" s="6">
        <v>-14.34</v>
      </c>
      <c r="N25" s="6">
        <v>-3.58</v>
      </c>
      <c r="O25" s="5">
        <v>0</v>
      </c>
      <c r="P25" s="6">
        <v>0.08</v>
      </c>
    </row>
    <row r="26" spans="1:16" ht="18" x14ac:dyDescent="0.25">
      <c r="A26" s="4" t="s">
        <v>48</v>
      </c>
      <c r="B26" s="4" t="s">
        <v>22</v>
      </c>
      <c r="C26" s="4" t="s">
        <v>23</v>
      </c>
      <c r="D26" s="4" t="s">
        <v>49</v>
      </c>
      <c r="E26" s="4" t="s">
        <v>25</v>
      </c>
      <c r="F26" s="5">
        <v>61</v>
      </c>
      <c r="G26" s="6">
        <v>541.29999999999995</v>
      </c>
      <c r="H26" s="6">
        <v>330.19</v>
      </c>
      <c r="I26" s="4" t="s">
        <v>26</v>
      </c>
      <c r="J26" s="6">
        <v>342.06</v>
      </c>
      <c r="K26" s="5">
        <v>0</v>
      </c>
      <c r="L26" s="4" t="s">
        <v>26</v>
      </c>
      <c r="M26" s="6">
        <v>-48.61</v>
      </c>
      <c r="N26" s="6">
        <v>-12.15</v>
      </c>
      <c r="O26" s="5">
        <v>0</v>
      </c>
      <c r="P26" s="6">
        <v>0.28000000000000003</v>
      </c>
    </row>
    <row r="27" spans="1:16" ht="18" x14ac:dyDescent="0.25">
      <c r="A27" s="4" t="s">
        <v>30</v>
      </c>
      <c r="B27" s="4" t="s">
        <v>22</v>
      </c>
      <c r="C27" s="4" t="s">
        <v>23</v>
      </c>
      <c r="D27" s="4" t="s">
        <v>49</v>
      </c>
      <c r="E27" s="4" t="s">
        <v>25</v>
      </c>
      <c r="F27" s="5">
        <v>100</v>
      </c>
      <c r="G27" s="5">
        <v>990</v>
      </c>
      <c r="H27" s="5">
        <v>990</v>
      </c>
      <c r="I27" s="4" t="s">
        <v>26</v>
      </c>
      <c r="J27" s="6">
        <v>935.66</v>
      </c>
      <c r="K27" s="5">
        <v>0</v>
      </c>
      <c r="L27" s="4" t="s">
        <v>26</v>
      </c>
      <c r="M27" s="5">
        <v>214</v>
      </c>
      <c r="N27" s="6">
        <v>53.5</v>
      </c>
      <c r="O27" s="5">
        <v>0</v>
      </c>
      <c r="P27" s="6">
        <v>0.84</v>
      </c>
    </row>
    <row r="28" spans="1:16" ht="18" x14ac:dyDescent="0.25">
      <c r="A28" s="4" t="s">
        <v>48</v>
      </c>
      <c r="B28" s="4" t="s">
        <v>22</v>
      </c>
      <c r="C28" s="4" t="s">
        <v>23</v>
      </c>
      <c r="D28" s="4" t="s">
        <v>50</v>
      </c>
      <c r="E28" s="4" t="s">
        <v>25</v>
      </c>
      <c r="F28" s="5">
        <v>79</v>
      </c>
      <c r="G28" s="6">
        <v>579.5</v>
      </c>
      <c r="H28" s="6">
        <v>457.81</v>
      </c>
      <c r="I28" s="4" t="s">
        <v>26</v>
      </c>
      <c r="J28" s="6">
        <v>464.65</v>
      </c>
      <c r="K28" s="5">
        <v>0</v>
      </c>
      <c r="L28" s="4" t="s">
        <v>26</v>
      </c>
      <c r="M28" s="6">
        <v>-28.91</v>
      </c>
      <c r="N28" s="6">
        <v>-7.23</v>
      </c>
      <c r="O28" s="5">
        <v>0</v>
      </c>
      <c r="P28" s="6">
        <v>0.39</v>
      </c>
    </row>
    <row r="29" spans="1:16" ht="18" x14ac:dyDescent="0.25">
      <c r="A29" s="4" t="s">
        <v>47</v>
      </c>
      <c r="B29" s="4" t="s">
        <v>22</v>
      </c>
      <c r="C29" s="4" t="s">
        <v>28</v>
      </c>
      <c r="D29" s="4" t="s">
        <v>50</v>
      </c>
      <c r="E29" s="4" t="s">
        <v>25</v>
      </c>
      <c r="F29" s="5">
        <v>5</v>
      </c>
      <c r="G29" s="5">
        <v>5385</v>
      </c>
      <c r="H29" s="6">
        <v>269.25</v>
      </c>
      <c r="I29" s="4" t="s">
        <v>26</v>
      </c>
      <c r="J29" s="6">
        <v>-269.48</v>
      </c>
      <c r="K29" s="5">
        <v>0</v>
      </c>
      <c r="L29" s="4" t="s">
        <v>26</v>
      </c>
      <c r="M29" s="5">
        <v>0</v>
      </c>
      <c r="N29" s="5">
        <v>0</v>
      </c>
      <c r="O29" s="5">
        <v>0</v>
      </c>
      <c r="P29" s="6">
        <v>0.23</v>
      </c>
    </row>
    <row r="30" spans="1:16" ht="18" x14ac:dyDescent="0.25">
      <c r="A30" s="4" t="s">
        <v>51</v>
      </c>
      <c r="B30" s="4" t="s">
        <v>22</v>
      </c>
      <c r="C30" s="4" t="s">
        <v>28</v>
      </c>
      <c r="D30" s="4" t="s">
        <v>50</v>
      </c>
      <c r="E30" s="4" t="s">
        <v>34</v>
      </c>
      <c r="F30" s="5">
        <v>10</v>
      </c>
      <c r="G30" s="5">
        <v>1927</v>
      </c>
      <c r="H30" s="6">
        <v>192.7</v>
      </c>
      <c r="I30" s="4" t="s">
        <v>26</v>
      </c>
      <c r="J30" s="6">
        <v>-192.86</v>
      </c>
      <c r="K30" s="5">
        <v>0</v>
      </c>
      <c r="L30" s="4" t="s">
        <v>26</v>
      </c>
      <c r="M30" s="5">
        <v>0</v>
      </c>
      <c r="N30" s="5">
        <v>0</v>
      </c>
      <c r="O30" s="5">
        <v>0</v>
      </c>
      <c r="P30" s="6">
        <v>0.16</v>
      </c>
    </row>
    <row r="31" spans="1:16" ht="18" x14ac:dyDescent="0.25">
      <c r="A31" s="4" t="s">
        <v>27</v>
      </c>
      <c r="B31" s="4" t="s">
        <v>22</v>
      </c>
      <c r="C31" s="4" t="s">
        <v>23</v>
      </c>
      <c r="D31" s="4" t="s">
        <v>52</v>
      </c>
      <c r="E31" s="4" t="s">
        <v>25</v>
      </c>
      <c r="F31" s="5">
        <v>50</v>
      </c>
      <c r="G31" s="5">
        <v>741</v>
      </c>
      <c r="H31" s="6">
        <v>370.5</v>
      </c>
      <c r="I31" s="4" t="s">
        <v>26</v>
      </c>
      <c r="J31" s="6">
        <v>382.73</v>
      </c>
      <c r="K31" s="5">
        <v>0</v>
      </c>
      <c r="L31" s="4" t="s">
        <v>26</v>
      </c>
      <c r="M31" s="6">
        <v>-50.17</v>
      </c>
      <c r="N31" s="6">
        <v>-12.54</v>
      </c>
      <c r="O31" s="5">
        <v>0</v>
      </c>
      <c r="P31" s="6">
        <v>0.31</v>
      </c>
    </row>
    <row r="32" spans="1:16" ht="18" x14ac:dyDescent="0.25">
      <c r="A32" s="4" t="s">
        <v>31</v>
      </c>
      <c r="B32" s="4" t="s">
        <v>22</v>
      </c>
      <c r="C32" s="4" t="s">
        <v>28</v>
      </c>
      <c r="D32" s="4" t="s">
        <v>52</v>
      </c>
      <c r="E32" s="4" t="s">
        <v>25</v>
      </c>
      <c r="F32" s="5">
        <v>2</v>
      </c>
      <c r="G32" s="5">
        <v>41390</v>
      </c>
      <c r="H32" s="6">
        <v>827.8</v>
      </c>
      <c r="I32" s="4" t="s">
        <v>26</v>
      </c>
      <c r="J32" s="6">
        <v>-828.5</v>
      </c>
      <c r="K32" s="5">
        <v>0</v>
      </c>
      <c r="L32" s="4" t="s">
        <v>26</v>
      </c>
      <c r="M32" s="5">
        <v>0</v>
      </c>
      <c r="N32" s="5">
        <v>0</v>
      </c>
      <c r="O32" s="5">
        <v>0</v>
      </c>
      <c r="P32" s="6">
        <v>0.7</v>
      </c>
    </row>
    <row r="33" spans="1:16" ht="18" x14ac:dyDescent="0.25">
      <c r="A33" s="4" t="s">
        <v>53</v>
      </c>
      <c r="B33" s="4" t="s">
        <v>22</v>
      </c>
      <c r="C33" s="4" t="s">
        <v>23</v>
      </c>
      <c r="D33" s="4" t="s">
        <v>52</v>
      </c>
      <c r="E33" s="4" t="s">
        <v>25</v>
      </c>
      <c r="F33" s="5">
        <v>30</v>
      </c>
      <c r="G33" s="5">
        <v>895</v>
      </c>
      <c r="H33" s="6">
        <v>268.5</v>
      </c>
      <c r="I33" s="4" t="s">
        <v>26</v>
      </c>
      <c r="J33" s="6">
        <v>272.52</v>
      </c>
      <c r="K33" s="5">
        <v>0</v>
      </c>
      <c r="L33" s="4" t="s">
        <v>26</v>
      </c>
      <c r="M33" s="6">
        <v>-16.98</v>
      </c>
      <c r="N33" s="6">
        <v>-4.25</v>
      </c>
      <c r="O33" s="5">
        <v>0</v>
      </c>
      <c r="P33" s="6">
        <v>0.23</v>
      </c>
    </row>
    <row r="34" spans="1:16" ht="18" x14ac:dyDescent="0.25">
      <c r="A34" s="4" t="s">
        <v>35</v>
      </c>
      <c r="B34" s="4" t="s">
        <v>22</v>
      </c>
      <c r="C34" s="4" t="s">
        <v>28</v>
      </c>
      <c r="D34" s="4" t="s">
        <v>54</v>
      </c>
      <c r="E34" s="4" t="s">
        <v>25</v>
      </c>
      <c r="F34" s="5">
        <v>300</v>
      </c>
      <c r="G34" s="6">
        <v>84.8</v>
      </c>
      <c r="H34" s="6">
        <v>254.4</v>
      </c>
      <c r="I34" s="4" t="s">
        <v>26</v>
      </c>
      <c r="J34" s="6">
        <v>-254.62</v>
      </c>
      <c r="K34" s="5">
        <v>0</v>
      </c>
      <c r="L34" s="4" t="s">
        <v>26</v>
      </c>
      <c r="M34" s="5">
        <v>0</v>
      </c>
      <c r="N34" s="5">
        <v>0</v>
      </c>
      <c r="O34" s="5">
        <v>0</v>
      </c>
      <c r="P34" s="6">
        <v>0.22</v>
      </c>
    </row>
    <row r="35" spans="1:16" ht="18" x14ac:dyDescent="0.25">
      <c r="A35" s="4" t="s">
        <v>30</v>
      </c>
      <c r="B35" s="4" t="s">
        <v>22</v>
      </c>
      <c r="C35" s="4" t="s">
        <v>28</v>
      </c>
      <c r="D35" s="4" t="s">
        <v>54</v>
      </c>
      <c r="E35" s="4" t="s">
        <v>25</v>
      </c>
      <c r="F35" s="5">
        <v>50</v>
      </c>
      <c r="G35" s="5">
        <v>805</v>
      </c>
      <c r="H35" s="6">
        <v>402.5</v>
      </c>
      <c r="I35" s="4" t="s">
        <v>26</v>
      </c>
      <c r="J35" s="6">
        <v>-402.84</v>
      </c>
      <c r="K35" s="5">
        <v>0</v>
      </c>
      <c r="L35" s="4" t="s">
        <v>26</v>
      </c>
      <c r="M35" s="5">
        <v>0</v>
      </c>
      <c r="N35" s="5">
        <v>0</v>
      </c>
      <c r="O35" s="5">
        <v>0</v>
      </c>
      <c r="P35" s="6">
        <v>0.34</v>
      </c>
    </row>
    <row r="36" spans="1:16" ht="18" x14ac:dyDescent="0.25">
      <c r="A36" s="4" t="s">
        <v>53</v>
      </c>
      <c r="B36" s="4" t="s">
        <v>22</v>
      </c>
      <c r="C36" s="4" t="s">
        <v>28</v>
      </c>
      <c r="D36" s="4" t="s">
        <v>54</v>
      </c>
      <c r="E36" s="4" t="s">
        <v>25</v>
      </c>
      <c r="F36" s="5">
        <v>30</v>
      </c>
      <c r="G36" s="5">
        <v>950</v>
      </c>
      <c r="H36" s="5">
        <v>285</v>
      </c>
      <c r="I36" s="4" t="s">
        <v>26</v>
      </c>
      <c r="J36" s="6">
        <v>-285.24</v>
      </c>
      <c r="K36" s="5">
        <v>0</v>
      </c>
      <c r="L36" s="4" t="s">
        <v>26</v>
      </c>
      <c r="M36" s="5">
        <v>0</v>
      </c>
      <c r="N36" s="5">
        <v>0</v>
      </c>
      <c r="O36" s="5">
        <v>0</v>
      </c>
      <c r="P36" s="6">
        <v>0.24</v>
      </c>
    </row>
    <row r="37" spans="1:16" ht="18" x14ac:dyDescent="0.25">
      <c r="A37" s="4" t="s">
        <v>55</v>
      </c>
      <c r="B37" s="4" t="s">
        <v>22</v>
      </c>
      <c r="C37" s="4" t="s">
        <v>23</v>
      </c>
      <c r="D37" s="4" t="s">
        <v>56</v>
      </c>
      <c r="E37" s="4" t="s">
        <v>25</v>
      </c>
      <c r="F37" s="5">
        <v>7</v>
      </c>
      <c r="G37" s="5">
        <v>8700</v>
      </c>
      <c r="H37" s="5">
        <v>609</v>
      </c>
      <c r="I37" s="4" t="s">
        <v>26</v>
      </c>
      <c r="J37" s="6">
        <v>649.02</v>
      </c>
      <c r="K37" s="5">
        <v>0</v>
      </c>
      <c r="L37" s="4" t="s">
        <v>26</v>
      </c>
      <c r="M37" s="6">
        <v>-162.18</v>
      </c>
      <c r="N37" s="6">
        <v>-40.54</v>
      </c>
      <c r="O37" s="5">
        <v>0</v>
      </c>
      <c r="P37" s="6">
        <v>0.52</v>
      </c>
    </row>
    <row r="38" spans="1:16" ht="18" x14ac:dyDescent="0.25">
      <c r="A38" s="4" t="s">
        <v>27</v>
      </c>
      <c r="B38" s="4" t="s">
        <v>22</v>
      </c>
      <c r="C38" s="4" t="s">
        <v>28</v>
      </c>
      <c r="D38" s="4" t="s">
        <v>56</v>
      </c>
      <c r="E38" s="4" t="s">
        <v>25</v>
      </c>
      <c r="F38" s="5">
        <v>50</v>
      </c>
      <c r="G38" s="5">
        <v>840</v>
      </c>
      <c r="H38" s="5">
        <v>420</v>
      </c>
      <c r="I38" s="4" t="s">
        <v>26</v>
      </c>
      <c r="J38" s="6">
        <v>-420.36</v>
      </c>
      <c r="K38" s="5">
        <v>0</v>
      </c>
      <c r="L38" s="4" t="s">
        <v>26</v>
      </c>
      <c r="M38" s="5">
        <v>0</v>
      </c>
      <c r="N38" s="5">
        <v>0</v>
      </c>
      <c r="O38" s="5">
        <v>0</v>
      </c>
      <c r="P38" s="6">
        <v>0.36</v>
      </c>
    </row>
    <row r="39" spans="1:16" ht="18" x14ac:dyDescent="0.25">
      <c r="A39" s="4" t="s">
        <v>30</v>
      </c>
      <c r="B39" s="4" t="s">
        <v>22</v>
      </c>
      <c r="C39" s="4" t="s">
        <v>28</v>
      </c>
      <c r="D39" s="4" t="s">
        <v>56</v>
      </c>
      <c r="E39" s="4" t="s">
        <v>25</v>
      </c>
      <c r="F39" s="5">
        <v>50</v>
      </c>
      <c r="G39" s="5">
        <v>744</v>
      </c>
      <c r="H39" s="5">
        <v>372</v>
      </c>
      <c r="I39" s="4" t="s">
        <v>26</v>
      </c>
      <c r="J39" s="6">
        <v>-372.32</v>
      </c>
      <c r="K39" s="5">
        <v>0</v>
      </c>
      <c r="L39" s="4" t="s">
        <v>26</v>
      </c>
      <c r="M39" s="5">
        <v>0</v>
      </c>
      <c r="N39" s="5">
        <v>0</v>
      </c>
      <c r="O39" s="5">
        <v>0</v>
      </c>
      <c r="P39" s="6">
        <v>0.32</v>
      </c>
    </row>
    <row r="40" spans="1:16" ht="18" x14ac:dyDescent="0.25">
      <c r="A40" s="4" t="s">
        <v>44</v>
      </c>
      <c r="B40" s="4" t="s">
        <v>22</v>
      </c>
      <c r="C40" s="4" t="s">
        <v>23</v>
      </c>
      <c r="D40" s="4" t="s">
        <v>57</v>
      </c>
      <c r="E40" s="4" t="s">
        <v>25</v>
      </c>
      <c r="F40" s="5">
        <v>400</v>
      </c>
      <c r="G40" s="5">
        <v>72</v>
      </c>
      <c r="H40" s="5">
        <v>288</v>
      </c>
      <c r="I40" s="4" t="s">
        <v>26</v>
      </c>
      <c r="J40" s="6">
        <v>325.92</v>
      </c>
      <c r="K40" s="5">
        <v>0</v>
      </c>
      <c r="L40" s="4" t="s">
        <v>26</v>
      </c>
      <c r="M40" s="6">
        <v>-152.61000000000001</v>
      </c>
      <c r="N40" s="6">
        <v>-38.159999999999997</v>
      </c>
      <c r="O40" s="5">
        <v>0</v>
      </c>
      <c r="P40" s="6">
        <v>0.24</v>
      </c>
    </row>
    <row r="41" spans="1:16" ht="18" x14ac:dyDescent="0.25">
      <c r="A41" s="4" t="s">
        <v>35</v>
      </c>
      <c r="B41" s="4" t="s">
        <v>22</v>
      </c>
      <c r="C41" s="4" t="s">
        <v>28</v>
      </c>
      <c r="D41" s="4" t="s">
        <v>58</v>
      </c>
      <c r="E41" s="4" t="s">
        <v>25</v>
      </c>
      <c r="F41" s="5">
        <v>300</v>
      </c>
      <c r="G41" s="5">
        <v>65</v>
      </c>
      <c r="H41" s="5">
        <v>195</v>
      </c>
      <c r="I41" s="4" t="s">
        <v>26</v>
      </c>
      <c r="J41" s="6">
        <v>-195.17</v>
      </c>
      <c r="K41" s="5">
        <v>0</v>
      </c>
      <c r="L41" s="4" t="s">
        <v>26</v>
      </c>
      <c r="M41" s="5">
        <v>0</v>
      </c>
      <c r="N41" s="5">
        <v>0</v>
      </c>
      <c r="O41" s="5">
        <v>0</v>
      </c>
      <c r="P41" s="6">
        <v>0.17</v>
      </c>
    </row>
    <row r="42" spans="1:16" ht="18" x14ac:dyDescent="0.25">
      <c r="A42" s="4" t="s">
        <v>44</v>
      </c>
      <c r="B42" s="4" t="s">
        <v>22</v>
      </c>
      <c r="C42" s="4" t="s">
        <v>28</v>
      </c>
      <c r="D42" s="4" t="s">
        <v>58</v>
      </c>
      <c r="E42" s="4" t="s">
        <v>25</v>
      </c>
      <c r="F42" s="5">
        <v>230</v>
      </c>
      <c r="G42" s="5">
        <v>88</v>
      </c>
      <c r="H42" s="6">
        <v>202.4</v>
      </c>
      <c r="I42" s="4" t="s">
        <v>26</v>
      </c>
      <c r="J42" s="6">
        <v>-202.57</v>
      </c>
      <c r="K42" s="5">
        <v>0</v>
      </c>
      <c r="L42" s="4" t="s">
        <v>26</v>
      </c>
      <c r="M42" s="5">
        <v>0</v>
      </c>
      <c r="N42" s="5">
        <v>0</v>
      </c>
      <c r="O42" s="5">
        <v>0</v>
      </c>
      <c r="P42" s="6">
        <v>0.17</v>
      </c>
    </row>
    <row r="43" spans="1:16" ht="18" x14ac:dyDescent="0.25">
      <c r="A43" s="4" t="s">
        <v>59</v>
      </c>
      <c r="B43" s="4" t="s">
        <v>22</v>
      </c>
      <c r="C43" s="4" t="s">
        <v>28</v>
      </c>
      <c r="D43" s="4" t="s">
        <v>60</v>
      </c>
      <c r="E43" s="4" t="s">
        <v>34</v>
      </c>
      <c r="F43" s="5">
        <v>200</v>
      </c>
      <c r="G43" s="6">
        <v>217.49</v>
      </c>
      <c r="H43" s="6">
        <v>434.98</v>
      </c>
      <c r="I43" s="4" t="s">
        <v>26</v>
      </c>
      <c r="J43" s="6">
        <v>-435.35</v>
      </c>
      <c r="K43" s="5">
        <v>0</v>
      </c>
      <c r="L43" s="4" t="s">
        <v>26</v>
      </c>
      <c r="M43" s="5">
        <v>0</v>
      </c>
      <c r="N43" s="5">
        <v>0</v>
      </c>
      <c r="O43" s="5">
        <v>0</v>
      </c>
      <c r="P43" s="6">
        <v>0.37</v>
      </c>
    </row>
    <row r="44" spans="1:16" ht="18" x14ac:dyDescent="0.25">
      <c r="A44" s="4" t="s">
        <v>44</v>
      </c>
      <c r="B44" s="4" t="s">
        <v>22</v>
      </c>
      <c r="C44" s="4" t="s">
        <v>28</v>
      </c>
      <c r="D44" s="4" t="s">
        <v>60</v>
      </c>
      <c r="E44" s="4" t="s">
        <v>25</v>
      </c>
      <c r="F44" s="5">
        <v>470</v>
      </c>
      <c r="G44" s="5">
        <v>110</v>
      </c>
      <c r="H44" s="5">
        <v>517</v>
      </c>
      <c r="I44" s="4" t="s">
        <v>26</v>
      </c>
      <c r="J44" s="6">
        <v>-517.44000000000005</v>
      </c>
      <c r="K44" s="5">
        <v>0</v>
      </c>
      <c r="L44" s="4" t="s">
        <v>26</v>
      </c>
      <c r="M44" s="5">
        <v>0</v>
      </c>
      <c r="N44" s="5">
        <v>0</v>
      </c>
      <c r="O44" s="5">
        <v>0</v>
      </c>
      <c r="P44" s="6">
        <v>0.44</v>
      </c>
    </row>
    <row r="45" spans="1:16" ht="18" x14ac:dyDescent="0.25">
      <c r="A45" s="4" t="s">
        <v>47</v>
      </c>
      <c r="B45" s="4" t="s">
        <v>22</v>
      </c>
      <c r="C45" s="4" t="s">
        <v>28</v>
      </c>
      <c r="D45" s="4" t="s">
        <v>60</v>
      </c>
      <c r="E45" s="4" t="s">
        <v>25</v>
      </c>
      <c r="F45" s="5">
        <v>10</v>
      </c>
      <c r="G45" s="5">
        <v>4550</v>
      </c>
      <c r="H45" s="5">
        <v>455</v>
      </c>
      <c r="I45" s="4" t="s">
        <v>26</v>
      </c>
      <c r="J45" s="6">
        <v>-455.39</v>
      </c>
      <c r="K45" s="5">
        <v>0</v>
      </c>
      <c r="L45" s="4" t="s">
        <v>26</v>
      </c>
      <c r="M45" s="5">
        <v>0</v>
      </c>
      <c r="N45" s="5">
        <v>0</v>
      </c>
      <c r="O45" s="5">
        <v>0</v>
      </c>
      <c r="P45" s="6">
        <v>0.39</v>
      </c>
    </row>
    <row r="46" spans="1:16" ht="18" x14ac:dyDescent="0.25">
      <c r="A46" s="4" t="s">
        <v>61</v>
      </c>
      <c r="B46" s="4" t="s">
        <v>22</v>
      </c>
      <c r="C46" s="4" t="s">
        <v>23</v>
      </c>
      <c r="D46" s="4" t="s">
        <v>60</v>
      </c>
      <c r="E46" s="4" t="s">
        <v>25</v>
      </c>
      <c r="F46" s="5">
        <v>7</v>
      </c>
      <c r="G46" s="5">
        <v>27320</v>
      </c>
      <c r="H46" s="6">
        <v>1912.4</v>
      </c>
      <c r="I46" s="4" t="s">
        <v>26</v>
      </c>
      <c r="J46" s="6">
        <v>1828.59</v>
      </c>
      <c r="K46" s="5">
        <v>0</v>
      </c>
      <c r="L46" s="4" t="s">
        <v>26</v>
      </c>
      <c r="M46" s="6">
        <v>328.72</v>
      </c>
      <c r="N46" s="6">
        <v>82.18</v>
      </c>
      <c r="O46" s="5">
        <v>0</v>
      </c>
      <c r="P46" s="6">
        <v>1.63</v>
      </c>
    </row>
    <row r="47" spans="1:16" ht="18" x14ac:dyDescent="0.25">
      <c r="A47" s="4" t="s">
        <v>53</v>
      </c>
      <c r="B47" s="4" t="s">
        <v>22</v>
      </c>
      <c r="C47" s="4" t="s">
        <v>23</v>
      </c>
      <c r="D47" s="4" t="s">
        <v>60</v>
      </c>
      <c r="E47" s="4" t="s">
        <v>25</v>
      </c>
      <c r="F47" s="5">
        <v>68</v>
      </c>
      <c r="G47" s="5">
        <v>1340</v>
      </c>
      <c r="H47" s="6">
        <v>911.2</v>
      </c>
      <c r="I47" s="4" t="s">
        <v>26</v>
      </c>
      <c r="J47" s="6">
        <v>886.67</v>
      </c>
      <c r="K47" s="5">
        <v>0</v>
      </c>
      <c r="L47" s="4" t="s">
        <v>26</v>
      </c>
      <c r="M47" s="6">
        <v>95.05</v>
      </c>
      <c r="N47" s="6">
        <v>23.76</v>
      </c>
      <c r="O47" s="5">
        <v>0</v>
      </c>
      <c r="P47" s="6">
        <v>0.77</v>
      </c>
    </row>
    <row r="48" spans="1:16" ht="18" x14ac:dyDescent="0.25">
      <c r="A48" s="4" t="s">
        <v>27</v>
      </c>
      <c r="B48" s="4" t="s">
        <v>22</v>
      </c>
      <c r="C48" s="4" t="s">
        <v>23</v>
      </c>
      <c r="D48" s="4" t="s">
        <v>62</v>
      </c>
      <c r="E48" s="4" t="s">
        <v>25</v>
      </c>
      <c r="F48" s="5">
        <v>113</v>
      </c>
      <c r="G48" s="5">
        <v>1300</v>
      </c>
      <c r="H48" s="5">
        <v>1469</v>
      </c>
      <c r="I48" s="4" t="s">
        <v>26</v>
      </c>
      <c r="J48" s="6">
        <v>1308.71</v>
      </c>
      <c r="K48" s="5">
        <v>0</v>
      </c>
      <c r="L48" s="4" t="s">
        <v>26</v>
      </c>
      <c r="M48" s="6">
        <v>636.14</v>
      </c>
      <c r="N48" s="6">
        <v>159.04</v>
      </c>
      <c r="O48" s="5">
        <v>0</v>
      </c>
      <c r="P48" s="6">
        <v>1.25</v>
      </c>
    </row>
    <row r="49" spans="1:16" ht="18" x14ac:dyDescent="0.25">
      <c r="A49" s="4" t="s">
        <v>48</v>
      </c>
      <c r="B49" s="4" t="s">
        <v>22</v>
      </c>
      <c r="C49" s="4" t="s">
        <v>28</v>
      </c>
      <c r="D49" s="4" t="s">
        <v>63</v>
      </c>
      <c r="E49" s="4" t="s">
        <v>25</v>
      </c>
      <c r="F49" s="5">
        <v>80</v>
      </c>
      <c r="G49" s="5">
        <v>620</v>
      </c>
      <c r="H49" s="5">
        <v>496</v>
      </c>
      <c r="I49" s="4" t="s">
        <v>26</v>
      </c>
      <c r="J49" s="6">
        <v>-496.42</v>
      </c>
      <c r="K49" s="5">
        <v>0</v>
      </c>
      <c r="L49" s="4" t="s">
        <v>26</v>
      </c>
      <c r="M49" s="5">
        <v>0</v>
      </c>
      <c r="N49" s="5">
        <v>0</v>
      </c>
      <c r="O49" s="5">
        <v>0</v>
      </c>
      <c r="P49" s="6">
        <v>0.42</v>
      </c>
    </row>
    <row r="50" spans="1:16" ht="18" x14ac:dyDescent="0.25">
      <c r="A50" s="4" t="s">
        <v>64</v>
      </c>
      <c r="B50" s="4" t="s">
        <v>22</v>
      </c>
      <c r="C50" s="4" t="s">
        <v>23</v>
      </c>
      <c r="D50" s="4" t="s">
        <v>65</v>
      </c>
      <c r="E50" s="4" t="s">
        <v>25</v>
      </c>
      <c r="F50" s="5">
        <v>5</v>
      </c>
      <c r="G50" s="5">
        <v>10050</v>
      </c>
      <c r="H50" s="6">
        <v>502.5</v>
      </c>
      <c r="I50" s="4" t="s">
        <v>26</v>
      </c>
      <c r="J50" s="6">
        <v>491.99</v>
      </c>
      <c r="K50" s="5">
        <v>0</v>
      </c>
      <c r="L50" s="4" t="s">
        <v>26</v>
      </c>
      <c r="M50" s="6">
        <v>40.33</v>
      </c>
      <c r="N50" s="6">
        <v>10.08</v>
      </c>
      <c r="O50" s="5">
        <v>0</v>
      </c>
      <c r="P50" s="6">
        <v>0.43</v>
      </c>
    </row>
    <row r="51" spans="1:16" ht="18" x14ac:dyDescent="0.25">
      <c r="A51" s="4" t="s">
        <v>48</v>
      </c>
      <c r="B51" s="4" t="s">
        <v>22</v>
      </c>
      <c r="C51" s="4" t="s">
        <v>28</v>
      </c>
      <c r="D51" s="4" t="s">
        <v>66</v>
      </c>
      <c r="E51" s="4" t="s">
        <v>25</v>
      </c>
      <c r="F51" s="5">
        <v>78</v>
      </c>
      <c r="G51" s="5">
        <v>615</v>
      </c>
      <c r="H51" s="6">
        <v>479.7</v>
      </c>
      <c r="I51" s="4" t="s">
        <v>26</v>
      </c>
      <c r="J51" s="6">
        <v>-480.11</v>
      </c>
      <c r="K51" s="5">
        <v>0</v>
      </c>
      <c r="L51" s="4" t="s">
        <v>26</v>
      </c>
      <c r="M51" s="5">
        <v>0</v>
      </c>
      <c r="N51" s="5">
        <v>0</v>
      </c>
      <c r="O51" s="5">
        <v>0</v>
      </c>
      <c r="P51" s="6">
        <v>0.41</v>
      </c>
    </row>
    <row r="52" spans="1:16" ht="18" x14ac:dyDescent="0.25">
      <c r="A52" s="4" t="s">
        <v>27</v>
      </c>
      <c r="B52" s="4" t="s">
        <v>22</v>
      </c>
      <c r="C52" s="4" t="s">
        <v>28</v>
      </c>
      <c r="D52" s="4" t="s">
        <v>67</v>
      </c>
      <c r="E52" s="4" t="s">
        <v>25</v>
      </c>
      <c r="F52" s="5">
        <v>13</v>
      </c>
      <c r="G52" s="5">
        <v>830</v>
      </c>
      <c r="H52" s="6">
        <v>107.9</v>
      </c>
      <c r="I52" s="4" t="s">
        <v>26</v>
      </c>
      <c r="J52" s="6">
        <v>-107.99</v>
      </c>
      <c r="K52" s="5">
        <v>0</v>
      </c>
      <c r="L52" s="4" t="s">
        <v>26</v>
      </c>
      <c r="M52" s="5">
        <v>0</v>
      </c>
      <c r="N52" s="5">
        <v>0</v>
      </c>
      <c r="O52" s="5">
        <v>0</v>
      </c>
      <c r="P52" s="6">
        <v>0.09</v>
      </c>
    </row>
    <row r="53" spans="1:16" ht="18" x14ac:dyDescent="0.25">
      <c r="A53" s="4" t="s">
        <v>68</v>
      </c>
      <c r="B53" s="4" t="s">
        <v>22</v>
      </c>
      <c r="C53" s="4" t="s">
        <v>23</v>
      </c>
      <c r="D53" s="4" t="s">
        <v>67</v>
      </c>
      <c r="E53" s="4" t="s">
        <v>34</v>
      </c>
      <c r="F53" s="5">
        <v>20</v>
      </c>
      <c r="G53" s="5">
        <v>3896</v>
      </c>
      <c r="H53" s="6">
        <v>779.2</v>
      </c>
      <c r="I53" s="4" t="s">
        <v>26</v>
      </c>
      <c r="J53" s="6">
        <v>763.31</v>
      </c>
      <c r="K53" s="5">
        <v>0</v>
      </c>
      <c r="L53" s="4" t="s">
        <v>26</v>
      </c>
      <c r="M53" s="6">
        <v>60.93</v>
      </c>
      <c r="N53" s="6">
        <v>15.23</v>
      </c>
      <c r="O53" s="5">
        <v>0</v>
      </c>
      <c r="P53" s="6">
        <v>0.66</v>
      </c>
    </row>
    <row r="54" spans="1:16" ht="18" x14ac:dyDescent="0.25">
      <c r="A54" s="4" t="s">
        <v>53</v>
      </c>
      <c r="B54" s="4" t="s">
        <v>22</v>
      </c>
      <c r="C54" s="4" t="s">
        <v>28</v>
      </c>
      <c r="D54" s="4" t="s">
        <v>67</v>
      </c>
      <c r="E54" s="4" t="s">
        <v>25</v>
      </c>
      <c r="F54" s="5">
        <v>13</v>
      </c>
      <c r="G54" s="5">
        <v>1386</v>
      </c>
      <c r="H54" s="6">
        <v>180.18</v>
      </c>
      <c r="I54" s="4" t="s">
        <v>26</v>
      </c>
      <c r="J54" s="6">
        <v>-180.33</v>
      </c>
      <c r="K54" s="5">
        <v>0</v>
      </c>
      <c r="L54" s="4" t="s">
        <v>26</v>
      </c>
      <c r="M54" s="5">
        <v>0</v>
      </c>
      <c r="N54" s="5">
        <v>0</v>
      </c>
      <c r="O54" s="5">
        <v>0</v>
      </c>
      <c r="P54" s="6">
        <v>0.15</v>
      </c>
    </row>
    <row r="55" spans="1:16" ht="18" x14ac:dyDescent="0.25">
      <c r="A55" s="4" t="s">
        <v>55</v>
      </c>
      <c r="B55" s="4" t="s">
        <v>22</v>
      </c>
      <c r="C55" s="4" t="s">
        <v>28</v>
      </c>
      <c r="D55" s="4" t="s">
        <v>69</v>
      </c>
      <c r="E55" s="4" t="s">
        <v>25</v>
      </c>
      <c r="F55" s="5">
        <v>7</v>
      </c>
      <c r="G55" s="5">
        <v>11000</v>
      </c>
      <c r="H55" s="5">
        <v>770</v>
      </c>
      <c r="I55" s="4" t="s">
        <v>26</v>
      </c>
      <c r="J55" s="6">
        <v>-770.65</v>
      </c>
      <c r="K55" s="5">
        <v>0</v>
      </c>
      <c r="L55" s="4" t="s">
        <v>26</v>
      </c>
      <c r="M55" s="5">
        <v>0</v>
      </c>
      <c r="N55" s="5">
        <v>0</v>
      </c>
      <c r="O55" s="5">
        <v>0</v>
      </c>
      <c r="P55" s="6">
        <v>0.65</v>
      </c>
    </row>
    <row r="56" spans="1:16" ht="18" x14ac:dyDescent="0.25">
      <c r="A56" s="4" t="s">
        <v>27</v>
      </c>
      <c r="B56" s="4" t="s">
        <v>22</v>
      </c>
      <c r="C56" s="4" t="s">
        <v>28</v>
      </c>
      <c r="D56" s="4" t="s">
        <v>69</v>
      </c>
      <c r="E56" s="4" t="s">
        <v>25</v>
      </c>
      <c r="F56" s="5">
        <v>100</v>
      </c>
      <c r="G56" s="5">
        <v>723</v>
      </c>
      <c r="H56" s="5">
        <v>723</v>
      </c>
      <c r="I56" s="4" t="s">
        <v>26</v>
      </c>
      <c r="J56" s="6">
        <v>-723.61</v>
      </c>
      <c r="K56" s="5">
        <v>0</v>
      </c>
      <c r="L56" s="4" t="s">
        <v>26</v>
      </c>
      <c r="M56" s="5">
        <v>0</v>
      </c>
      <c r="N56" s="5">
        <v>0</v>
      </c>
      <c r="O56" s="5">
        <v>0</v>
      </c>
      <c r="P56" s="6">
        <v>0.61</v>
      </c>
    </row>
    <row r="57" spans="1:16" ht="18" x14ac:dyDescent="0.25">
      <c r="A57" s="4" t="s">
        <v>48</v>
      </c>
      <c r="B57" s="4" t="s">
        <v>22</v>
      </c>
      <c r="C57" s="4" t="s">
        <v>23</v>
      </c>
      <c r="D57" s="4" t="s">
        <v>70</v>
      </c>
      <c r="E57" s="4" t="s">
        <v>25</v>
      </c>
      <c r="F57" s="5">
        <v>140</v>
      </c>
      <c r="G57" s="5">
        <v>640</v>
      </c>
      <c r="H57" s="5">
        <v>896</v>
      </c>
      <c r="I57" s="4" t="s">
        <v>26</v>
      </c>
      <c r="J57" s="6">
        <v>855.59</v>
      </c>
      <c r="K57" s="5">
        <v>0</v>
      </c>
      <c r="L57" s="4" t="s">
        <v>26</v>
      </c>
      <c r="M57" s="6">
        <v>158.61000000000001</v>
      </c>
      <c r="N57" s="6">
        <v>39.65</v>
      </c>
      <c r="O57" s="5">
        <v>0</v>
      </c>
      <c r="P57" s="6">
        <v>0.76</v>
      </c>
    </row>
    <row r="58" spans="1:16" ht="18" x14ac:dyDescent="0.25">
      <c r="A58" s="4" t="s">
        <v>71</v>
      </c>
      <c r="B58" s="4" t="s">
        <v>22</v>
      </c>
      <c r="C58" s="4" t="s">
        <v>23</v>
      </c>
      <c r="D58" s="4" t="s">
        <v>70</v>
      </c>
      <c r="E58" s="4" t="s">
        <v>25</v>
      </c>
      <c r="F58" s="5">
        <v>11</v>
      </c>
      <c r="G58" s="5">
        <v>5260</v>
      </c>
      <c r="H58" s="6">
        <v>578.6</v>
      </c>
      <c r="I58" s="4" t="s">
        <v>26</v>
      </c>
      <c r="J58" s="6">
        <v>566.63</v>
      </c>
      <c r="K58" s="5">
        <v>0</v>
      </c>
      <c r="L58" s="4" t="s">
        <v>26</v>
      </c>
      <c r="M58" s="6">
        <v>45.92</v>
      </c>
      <c r="N58" s="6">
        <v>11.48</v>
      </c>
      <c r="O58" s="5">
        <v>0</v>
      </c>
      <c r="P58" s="6">
        <v>0.49</v>
      </c>
    </row>
    <row r="59" spans="1:16" ht="18" x14ac:dyDescent="0.25">
      <c r="A59" s="4" t="s">
        <v>48</v>
      </c>
      <c r="B59" s="4" t="s">
        <v>22</v>
      </c>
      <c r="C59" s="4" t="s">
        <v>23</v>
      </c>
      <c r="D59" s="4" t="s">
        <v>72</v>
      </c>
      <c r="E59" s="4" t="s">
        <v>25</v>
      </c>
      <c r="F59" s="5">
        <v>40</v>
      </c>
      <c r="G59" s="5">
        <v>699</v>
      </c>
      <c r="H59" s="6">
        <v>279.60000000000002</v>
      </c>
      <c r="I59" s="4" t="s">
        <v>26</v>
      </c>
      <c r="J59" s="6">
        <v>248.55</v>
      </c>
      <c r="K59" s="5">
        <v>0</v>
      </c>
      <c r="L59" s="4" t="s">
        <v>26</v>
      </c>
      <c r="M59" s="6">
        <v>123.23</v>
      </c>
      <c r="N59" s="6">
        <v>30.81</v>
      </c>
      <c r="O59" s="5">
        <v>0</v>
      </c>
      <c r="P59" s="6">
        <v>0.24</v>
      </c>
    </row>
    <row r="60" spans="1:16" ht="18" x14ac:dyDescent="0.25">
      <c r="A60" s="4" t="s">
        <v>73</v>
      </c>
      <c r="B60" s="4" t="s">
        <v>22</v>
      </c>
      <c r="C60" s="4" t="s">
        <v>28</v>
      </c>
      <c r="D60" s="4" t="s">
        <v>72</v>
      </c>
      <c r="E60" s="4" t="s">
        <v>25</v>
      </c>
      <c r="F60" s="5">
        <v>10</v>
      </c>
      <c r="G60" s="5">
        <v>980</v>
      </c>
      <c r="H60" s="5">
        <v>98</v>
      </c>
      <c r="I60" s="4" t="s">
        <v>26</v>
      </c>
      <c r="J60" s="6">
        <v>-98.08</v>
      </c>
      <c r="K60" s="5">
        <v>0</v>
      </c>
      <c r="L60" s="4" t="s">
        <v>26</v>
      </c>
      <c r="M60" s="5">
        <v>0</v>
      </c>
      <c r="N60" s="5">
        <v>0</v>
      </c>
      <c r="O60" s="5">
        <v>0</v>
      </c>
      <c r="P60" s="6">
        <v>0.08</v>
      </c>
    </row>
    <row r="61" spans="1:16" ht="18" x14ac:dyDescent="0.25">
      <c r="A61" s="4" t="s">
        <v>53</v>
      </c>
      <c r="B61" s="4" t="s">
        <v>22</v>
      </c>
      <c r="C61" s="4" t="s">
        <v>28</v>
      </c>
      <c r="D61" s="4" t="s">
        <v>72</v>
      </c>
      <c r="E61" s="4" t="s">
        <v>25</v>
      </c>
      <c r="F61" s="5">
        <v>15</v>
      </c>
      <c r="G61" s="5">
        <v>1076</v>
      </c>
      <c r="H61" s="6">
        <v>161.4</v>
      </c>
      <c r="I61" s="4" t="s">
        <v>26</v>
      </c>
      <c r="J61" s="6">
        <v>-161.54</v>
      </c>
      <c r="K61" s="5">
        <v>0</v>
      </c>
      <c r="L61" s="4" t="s">
        <v>26</v>
      </c>
      <c r="M61" s="5">
        <v>0</v>
      </c>
      <c r="N61" s="5">
        <v>0</v>
      </c>
      <c r="O61" s="5">
        <v>0</v>
      </c>
      <c r="P61" s="6">
        <v>0.14000000000000001</v>
      </c>
    </row>
    <row r="62" spans="1:16" ht="18" x14ac:dyDescent="0.25">
      <c r="A62" s="4" t="s">
        <v>47</v>
      </c>
      <c r="B62" s="4" t="s">
        <v>22</v>
      </c>
      <c r="C62" s="4" t="s">
        <v>23</v>
      </c>
      <c r="D62" s="4" t="s">
        <v>74</v>
      </c>
      <c r="E62" s="4" t="s">
        <v>25</v>
      </c>
      <c r="F62" s="5">
        <v>5</v>
      </c>
      <c r="G62" s="5">
        <v>3566</v>
      </c>
      <c r="H62" s="6">
        <v>178.3</v>
      </c>
      <c r="I62" s="4" t="s">
        <v>26</v>
      </c>
      <c r="J62" s="6">
        <v>179.9</v>
      </c>
      <c r="K62" s="5">
        <v>0</v>
      </c>
      <c r="L62" s="4" t="s">
        <v>26</v>
      </c>
      <c r="M62" s="6">
        <v>-7.01</v>
      </c>
      <c r="N62" s="6">
        <v>-1.75</v>
      </c>
      <c r="O62" s="5">
        <v>0</v>
      </c>
      <c r="P62" s="6">
        <v>0.15</v>
      </c>
    </row>
    <row r="63" spans="1:16" ht="18" x14ac:dyDescent="0.25">
      <c r="A63" s="4" t="s">
        <v>73</v>
      </c>
      <c r="B63" s="4" t="s">
        <v>22</v>
      </c>
      <c r="C63" s="4" t="s">
        <v>28</v>
      </c>
      <c r="D63" s="4" t="s">
        <v>74</v>
      </c>
      <c r="E63" s="4" t="s">
        <v>25</v>
      </c>
      <c r="F63" s="5">
        <v>30</v>
      </c>
      <c r="G63" s="5">
        <v>1025</v>
      </c>
      <c r="H63" s="6">
        <v>307.5</v>
      </c>
      <c r="I63" s="4" t="s">
        <v>26</v>
      </c>
      <c r="J63" s="6">
        <v>-307.76</v>
      </c>
      <c r="K63" s="5">
        <v>0</v>
      </c>
      <c r="L63" s="4" t="s">
        <v>26</v>
      </c>
      <c r="M63" s="5">
        <v>0</v>
      </c>
      <c r="N63" s="5">
        <v>0</v>
      </c>
      <c r="O63" s="5">
        <v>0</v>
      </c>
      <c r="P63" s="6">
        <v>0.26</v>
      </c>
    </row>
    <row r="64" spans="1:16" ht="18" x14ac:dyDescent="0.25">
      <c r="A64" s="4" t="s">
        <v>61</v>
      </c>
      <c r="B64" s="4" t="s">
        <v>22</v>
      </c>
      <c r="C64" s="4" t="s">
        <v>28</v>
      </c>
      <c r="D64" s="4" t="s">
        <v>75</v>
      </c>
      <c r="E64" s="4" t="s">
        <v>25</v>
      </c>
      <c r="F64" s="5">
        <v>2</v>
      </c>
      <c r="G64" s="5">
        <v>24700</v>
      </c>
      <c r="H64" s="5">
        <v>494</v>
      </c>
      <c r="I64" s="4" t="s">
        <v>26</v>
      </c>
      <c r="J64" s="6">
        <v>-494.42</v>
      </c>
      <c r="K64" s="5">
        <v>0</v>
      </c>
      <c r="L64" s="4" t="s">
        <v>26</v>
      </c>
      <c r="M64" s="5">
        <v>0</v>
      </c>
      <c r="N64" s="5">
        <v>0</v>
      </c>
      <c r="O64" s="5">
        <v>0</v>
      </c>
      <c r="P64" s="6">
        <v>0.42</v>
      </c>
    </row>
    <row r="65" spans="1:16" ht="18" x14ac:dyDescent="0.25">
      <c r="A65" s="4" t="s">
        <v>53</v>
      </c>
      <c r="B65" s="4" t="s">
        <v>22</v>
      </c>
      <c r="C65" s="4" t="s">
        <v>28</v>
      </c>
      <c r="D65" s="4" t="s">
        <v>75</v>
      </c>
      <c r="E65" s="4" t="s">
        <v>25</v>
      </c>
      <c r="F65" s="5">
        <v>20</v>
      </c>
      <c r="G65" s="5">
        <v>1420</v>
      </c>
      <c r="H65" s="5">
        <v>284</v>
      </c>
      <c r="I65" s="4" t="s">
        <v>26</v>
      </c>
      <c r="J65" s="6">
        <v>-284.24</v>
      </c>
      <c r="K65" s="5">
        <v>0</v>
      </c>
      <c r="L65" s="4" t="s">
        <v>26</v>
      </c>
      <c r="M65" s="5">
        <v>0</v>
      </c>
      <c r="N65" s="5">
        <v>0</v>
      </c>
      <c r="O65" s="5">
        <v>0</v>
      </c>
      <c r="P65" s="6">
        <v>0.24</v>
      </c>
    </row>
    <row r="66" spans="1:16" ht="18" x14ac:dyDescent="0.25">
      <c r="A66" s="4" t="s">
        <v>76</v>
      </c>
      <c r="B66" s="4" t="s">
        <v>22</v>
      </c>
      <c r="C66" s="4" t="s">
        <v>28</v>
      </c>
      <c r="D66" s="4" t="s">
        <v>77</v>
      </c>
      <c r="E66" s="4" t="s">
        <v>25</v>
      </c>
      <c r="F66" s="5">
        <v>5</v>
      </c>
      <c r="G66" s="5">
        <v>6450</v>
      </c>
      <c r="H66" s="6">
        <v>322.5</v>
      </c>
      <c r="I66" s="4" t="s">
        <v>26</v>
      </c>
      <c r="J66" s="6">
        <v>-322.77</v>
      </c>
      <c r="K66" s="5">
        <v>0</v>
      </c>
      <c r="L66" s="4" t="s">
        <v>26</v>
      </c>
      <c r="M66" s="5">
        <v>0</v>
      </c>
      <c r="N66" s="5">
        <v>0</v>
      </c>
      <c r="O66" s="5">
        <v>0</v>
      </c>
      <c r="P66" s="6">
        <v>0.27</v>
      </c>
    </row>
    <row r="67" spans="1:16" ht="18" x14ac:dyDescent="0.25">
      <c r="A67" s="4" t="s">
        <v>48</v>
      </c>
      <c r="B67" s="4" t="s">
        <v>22</v>
      </c>
      <c r="C67" s="4" t="s">
        <v>23</v>
      </c>
      <c r="D67" s="4" t="s">
        <v>77</v>
      </c>
      <c r="E67" s="4" t="s">
        <v>25</v>
      </c>
      <c r="F67" s="5">
        <v>80</v>
      </c>
      <c r="G67" s="6">
        <v>607.1</v>
      </c>
      <c r="H67" s="6">
        <v>485.68</v>
      </c>
      <c r="I67" s="4" t="s">
        <v>26</v>
      </c>
      <c r="J67" s="6">
        <v>447.5</v>
      </c>
      <c r="K67" s="5">
        <v>0</v>
      </c>
      <c r="L67" s="4" t="s">
        <v>26</v>
      </c>
      <c r="M67" s="5">
        <v>173</v>
      </c>
      <c r="N67" s="6">
        <v>37.770000000000003</v>
      </c>
      <c r="O67" s="5">
        <v>0</v>
      </c>
      <c r="P67" s="6">
        <v>0.41</v>
      </c>
    </row>
    <row r="68" spans="1:16" ht="18" x14ac:dyDescent="0.25">
      <c r="A68" s="4" t="s">
        <v>71</v>
      </c>
      <c r="B68" s="4" t="s">
        <v>22</v>
      </c>
      <c r="C68" s="4" t="s">
        <v>23</v>
      </c>
      <c r="D68" s="4" t="s">
        <v>77</v>
      </c>
      <c r="E68" s="4" t="s">
        <v>25</v>
      </c>
      <c r="F68" s="5">
        <v>10</v>
      </c>
      <c r="G68" s="5">
        <v>5244</v>
      </c>
      <c r="H68" s="6">
        <v>524.4</v>
      </c>
      <c r="I68" s="4" t="s">
        <v>26</v>
      </c>
      <c r="J68" s="6">
        <v>513.15</v>
      </c>
      <c r="K68" s="5">
        <v>0</v>
      </c>
      <c r="L68" s="4" t="s">
        <v>26</v>
      </c>
      <c r="M68" s="6">
        <v>43.19</v>
      </c>
      <c r="N68" s="6">
        <v>10.8</v>
      </c>
      <c r="O68" s="5">
        <v>0</v>
      </c>
      <c r="P68" s="6">
        <v>0.45</v>
      </c>
    </row>
    <row r="69" spans="1:16" ht="18" x14ac:dyDescent="0.25">
      <c r="A69" s="4" t="s">
        <v>76</v>
      </c>
      <c r="B69" s="4" t="s">
        <v>22</v>
      </c>
      <c r="C69" s="4" t="s">
        <v>28</v>
      </c>
      <c r="D69" s="4" t="s">
        <v>78</v>
      </c>
      <c r="E69" s="4" t="s">
        <v>25</v>
      </c>
      <c r="F69" s="5">
        <v>15</v>
      </c>
      <c r="G69" s="5">
        <v>5750</v>
      </c>
      <c r="H69" s="6">
        <v>862.5</v>
      </c>
      <c r="I69" s="4" t="s">
        <v>26</v>
      </c>
      <c r="J69" s="6">
        <v>-863.23</v>
      </c>
      <c r="K69" s="5">
        <v>0</v>
      </c>
      <c r="L69" s="4" t="s">
        <v>26</v>
      </c>
      <c r="M69" s="5">
        <v>0</v>
      </c>
      <c r="N69" s="5">
        <v>0</v>
      </c>
      <c r="O69" s="5">
        <v>0</v>
      </c>
      <c r="P69" s="6">
        <v>0.73</v>
      </c>
    </row>
    <row r="70" spans="1:16" ht="18" x14ac:dyDescent="0.25">
      <c r="A70" s="4" t="s">
        <v>79</v>
      </c>
      <c r="B70" s="4" t="s">
        <v>22</v>
      </c>
      <c r="C70" s="4" t="s">
        <v>23</v>
      </c>
      <c r="D70" s="4" t="s">
        <v>78</v>
      </c>
      <c r="E70" s="4" t="s">
        <v>34</v>
      </c>
      <c r="F70" s="5">
        <v>6</v>
      </c>
      <c r="G70" s="5">
        <v>3159</v>
      </c>
      <c r="H70" s="6">
        <v>189.54</v>
      </c>
      <c r="I70" s="4" t="s">
        <v>26</v>
      </c>
      <c r="J70" s="6">
        <v>189.38</v>
      </c>
      <c r="K70" s="5">
        <v>0</v>
      </c>
      <c r="L70" s="4" t="s">
        <v>26</v>
      </c>
      <c r="M70" s="6">
        <v>6.21</v>
      </c>
      <c r="N70" s="5">
        <v>0</v>
      </c>
      <c r="O70" s="5">
        <v>0</v>
      </c>
      <c r="P70" s="6">
        <v>0.16</v>
      </c>
    </row>
    <row r="71" spans="1:16" ht="18" x14ac:dyDescent="0.25">
      <c r="A71" s="4" t="s">
        <v>53</v>
      </c>
      <c r="B71" s="4" t="s">
        <v>22</v>
      </c>
      <c r="C71" s="4" t="s">
        <v>28</v>
      </c>
      <c r="D71" s="4" t="s">
        <v>78</v>
      </c>
      <c r="E71" s="4" t="s">
        <v>25</v>
      </c>
      <c r="F71" s="5">
        <v>20</v>
      </c>
      <c r="G71" s="6">
        <v>945.5</v>
      </c>
      <c r="H71" s="6">
        <v>189.1</v>
      </c>
      <c r="I71" s="4" t="s">
        <v>26</v>
      </c>
      <c r="J71" s="6">
        <v>-189.26</v>
      </c>
      <c r="K71" s="5">
        <v>0</v>
      </c>
      <c r="L71" s="4" t="s">
        <v>26</v>
      </c>
      <c r="M71" s="5">
        <v>0</v>
      </c>
      <c r="N71" s="5">
        <v>0</v>
      </c>
      <c r="O71" s="5">
        <v>0</v>
      </c>
      <c r="P71" s="6">
        <v>0.16</v>
      </c>
    </row>
    <row r="72" spans="1:16" ht="18" x14ac:dyDescent="0.25">
      <c r="A72" s="4" t="s">
        <v>80</v>
      </c>
      <c r="B72" s="4" t="s">
        <v>22</v>
      </c>
      <c r="C72" s="4" t="s">
        <v>23</v>
      </c>
      <c r="D72" s="4" t="s">
        <v>81</v>
      </c>
      <c r="E72" s="4" t="s">
        <v>34</v>
      </c>
      <c r="F72" s="5">
        <v>100</v>
      </c>
      <c r="G72" s="6">
        <v>113.7</v>
      </c>
      <c r="H72" s="6">
        <v>113.7</v>
      </c>
      <c r="I72" s="4" t="s">
        <v>26</v>
      </c>
      <c r="J72" s="6">
        <v>113.6</v>
      </c>
      <c r="K72" s="5">
        <v>0</v>
      </c>
      <c r="L72" s="4" t="s">
        <v>26</v>
      </c>
      <c r="M72" s="6">
        <v>7.61</v>
      </c>
      <c r="N72" s="5">
        <v>0</v>
      </c>
      <c r="O72" s="5">
        <v>0</v>
      </c>
      <c r="P72" s="6">
        <v>0.1</v>
      </c>
    </row>
    <row r="73" spans="1:16" ht="18" x14ac:dyDescent="0.25">
      <c r="A73" s="4" t="s">
        <v>48</v>
      </c>
      <c r="B73" s="4" t="s">
        <v>22</v>
      </c>
      <c r="C73" s="4" t="s">
        <v>28</v>
      </c>
      <c r="D73" s="4" t="s">
        <v>82</v>
      </c>
      <c r="E73" s="4" t="s">
        <v>25</v>
      </c>
      <c r="F73" s="5">
        <v>100</v>
      </c>
      <c r="G73" s="5">
        <v>580</v>
      </c>
      <c r="H73" s="5">
        <v>580</v>
      </c>
      <c r="I73" s="4" t="s">
        <v>26</v>
      </c>
      <c r="J73" s="6">
        <v>-580.49</v>
      </c>
      <c r="K73" s="5">
        <v>0</v>
      </c>
      <c r="L73" s="4" t="s">
        <v>26</v>
      </c>
      <c r="M73" s="5">
        <v>0</v>
      </c>
      <c r="N73" s="5">
        <v>0</v>
      </c>
      <c r="O73" s="5">
        <v>0</v>
      </c>
      <c r="P73" s="6">
        <v>0.49</v>
      </c>
    </row>
    <row r="74" spans="1:16" ht="18" x14ac:dyDescent="0.25">
      <c r="A74" s="4" t="s">
        <v>47</v>
      </c>
      <c r="B74" s="4" t="s">
        <v>22</v>
      </c>
      <c r="C74" s="4" t="s">
        <v>28</v>
      </c>
      <c r="D74" s="4" t="s">
        <v>82</v>
      </c>
      <c r="E74" s="4" t="s">
        <v>25</v>
      </c>
      <c r="F74" s="5">
        <v>20</v>
      </c>
      <c r="G74" s="5">
        <v>3700</v>
      </c>
      <c r="H74" s="5">
        <v>740</v>
      </c>
      <c r="I74" s="4" t="s">
        <v>26</v>
      </c>
      <c r="J74" s="6">
        <v>-740.63</v>
      </c>
      <c r="K74" s="5">
        <v>0</v>
      </c>
      <c r="L74" s="4" t="s">
        <v>26</v>
      </c>
      <c r="M74" s="5">
        <v>0</v>
      </c>
      <c r="N74" s="5">
        <v>0</v>
      </c>
      <c r="O74" s="5">
        <v>0</v>
      </c>
      <c r="P74" s="6">
        <v>0.63</v>
      </c>
    </row>
    <row r="75" spans="1:16" ht="18" x14ac:dyDescent="0.25">
      <c r="A75" s="4" t="s">
        <v>61</v>
      </c>
      <c r="B75" s="4" t="s">
        <v>22</v>
      </c>
      <c r="C75" s="4" t="s">
        <v>28</v>
      </c>
      <c r="D75" s="4" t="s">
        <v>82</v>
      </c>
      <c r="E75" s="4" t="s">
        <v>25</v>
      </c>
      <c r="F75" s="5">
        <v>3</v>
      </c>
      <c r="G75" s="5">
        <v>22390</v>
      </c>
      <c r="H75" s="6">
        <v>671.7</v>
      </c>
      <c r="I75" s="4" t="s">
        <v>26</v>
      </c>
      <c r="J75" s="6">
        <v>-672.27</v>
      </c>
      <c r="K75" s="5">
        <v>0</v>
      </c>
      <c r="L75" s="4" t="s">
        <v>26</v>
      </c>
      <c r="M75" s="5">
        <v>0</v>
      </c>
      <c r="N75" s="5">
        <v>0</v>
      </c>
      <c r="O75" s="5">
        <v>0</v>
      </c>
      <c r="P75" s="6">
        <v>0.56999999999999995</v>
      </c>
    </row>
    <row r="76" spans="1:16" ht="18" x14ac:dyDescent="0.25">
      <c r="A76" s="4" t="s">
        <v>83</v>
      </c>
      <c r="B76" s="4" t="s">
        <v>22</v>
      </c>
      <c r="C76" s="4" t="s">
        <v>23</v>
      </c>
      <c r="D76" s="4" t="s">
        <v>84</v>
      </c>
      <c r="E76" s="4" t="s">
        <v>34</v>
      </c>
      <c r="F76" s="5">
        <v>130</v>
      </c>
      <c r="G76" s="6">
        <v>208.52</v>
      </c>
      <c r="H76" s="6">
        <v>271.08</v>
      </c>
      <c r="I76" s="4" t="s">
        <v>26</v>
      </c>
      <c r="J76" s="6">
        <v>270.85000000000002</v>
      </c>
      <c r="K76" s="5">
        <v>0</v>
      </c>
      <c r="L76" s="4" t="s">
        <v>26</v>
      </c>
      <c r="M76" s="6">
        <v>-5.41</v>
      </c>
      <c r="N76" s="5">
        <v>0</v>
      </c>
      <c r="O76" s="5">
        <v>0</v>
      </c>
      <c r="P76" s="6">
        <v>0.23</v>
      </c>
    </row>
    <row r="77" spans="1:16" ht="18" x14ac:dyDescent="0.25">
      <c r="A77" s="4" t="s">
        <v>31</v>
      </c>
      <c r="B77" s="4" t="s">
        <v>22</v>
      </c>
      <c r="C77" s="4" t="s">
        <v>23</v>
      </c>
      <c r="D77" s="4" t="s">
        <v>81</v>
      </c>
      <c r="E77" s="4" t="s">
        <v>25</v>
      </c>
      <c r="F77" s="5">
        <v>3</v>
      </c>
      <c r="G77" s="5">
        <v>36250</v>
      </c>
      <c r="H77" s="6">
        <v>1087.5</v>
      </c>
      <c r="I77" s="4" t="s">
        <v>26</v>
      </c>
      <c r="J77" s="6">
        <v>1086.58</v>
      </c>
      <c r="K77" s="5">
        <v>0</v>
      </c>
      <c r="L77" s="4" t="s">
        <v>26</v>
      </c>
      <c r="M77" s="6">
        <v>-26.37</v>
      </c>
      <c r="N77" s="5">
        <v>0</v>
      </c>
      <c r="O77" s="5">
        <v>0</v>
      </c>
      <c r="P77" s="6">
        <v>0.92</v>
      </c>
    </row>
    <row r="78" spans="1:16" ht="18" x14ac:dyDescent="0.25">
      <c r="A78" s="4" t="s">
        <v>59</v>
      </c>
      <c r="B78" s="4" t="s">
        <v>22</v>
      </c>
      <c r="C78" s="4" t="s">
        <v>28</v>
      </c>
      <c r="D78" s="4" t="s">
        <v>81</v>
      </c>
      <c r="E78" s="4" t="s">
        <v>34</v>
      </c>
      <c r="F78" s="5">
        <v>50</v>
      </c>
      <c r="G78" s="6">
        <v>210.69</v>
      </c>
      <c r="H78" s="6">
        <v>105.35</v>
      </c>
      <c r="I78" s="4" t="s">
        <v>26</v>
      </c>
      <c r="J78" s="6">
        <v>-105.44</v>
      </c>
      <c r="K78" s="5">
        <v>0</v>
      </c>
      <c r="L78" s="4" t="s">
        <v>26</v>
      </c>
      <c r="M78" s="5">
        <v>0</v>
      </c>
      <c r="N78" s="5">
        <v>0</v>
      </c>
      <c r="O78" s="5">
        <v>0</v>
      </c>
      <c r="P78" s="6">
        <v>0.09</v>
      </c>
    </row>
    <row r="79" spans="1:16" ht="18" x14ac:dyDescent="0.25">
      <c r="A79" s="4" t="s">
        <v>85</v>
      </c>
      <c r="B79" s="4" t="s">
        <v>22</v>
      </c>
      <c r="C79" s="4" t="s">
        <v>23</v>
      </c>
      <c r="D79" s="4" t="s">
        <v>84</v>
      </c>
      <c r="E79" s="4" t="s">
        <v>34</v>
      </c>
      <c r="F79" s="5">
        <v>7</v>
      </c>
      <c r="G79" s="5">
        <v>6461</v>
      </c>
      <c r="H79" s="6">
        <v>452.27</v>
      </c>
      <c r="I79" s="4" t="s">
        <v>26</v>
      </c>
      <c r="J79" s="6">
        <v>451.89</v>
      </c>
      <c r="K79" s="5">
        <v>0</v>
      </c>
      <c r="L79" s="4" t="s">
        <v>26</v>
      </c>
      <c r="M79" s="6">
        <v>-6.87</v>
      </c>
      <c r="N79" s="5">
        <v>0</v>
      </c>
      <c r="O79" s="5">
        <v>0</v>
      </c>
      <c r="P79" s="6">
        <v>0.38</v>
      </c>
    </row>
    <row r="80" spans="1:16" ht="18" x14ac:dyDescent="0.25">
      <c r="A80" s="4" t="s">
        <v>86</v>
      </c>
      <c r="B80" s="4" t="s">
        <v>22</v>
      </c>
      <c r="C80" s="4" t="s">
        <v>23</v>
      </c>
      <c r="D80" s="4" t="s">
        <v>84</v>
      </c>
      <c r="E80" s="4" t="s">
        <v>34</v>
      </c>
      <c r="F80" s="5">
        <v>10</v>
      </c>
      <c r="G80" s="6">
        <v>1182.6400000000001</v>
      </c>
      <c r="H80" s="6">
        <v>118.26</v>
      </c>
      <c r="I80" s="4" t="s">
        <v>26</v>
      </c>
      <c r="J80" s="6">
        <v>118.26</v>
      </c>
      <c r="K80" s="5">
        <v>0</v>
      </c>
      <c r="L80" s="4" t="s">
        <v>26</v>
      </c>
      <c r="M80" s="6">
        <v>2.91</v>
      </c>
      <c r="N80" s="5">
        <v>0</v>
      </c>
      <c r="O80" s="5">
        <v>0</v>
      </c>
      <c r="P80" s="5">
        <v>0</v>
      </c>
    </row>
    <row r="81" spans="1:16" ht="18" x14ac:dyDescent="0.25">
      <c r="A81" s="4" t="s">
        <v>87</v>
      </c>
      <c r="B81" s="4" t="s">
        <v>22</v>
      </c>
      <c r="C81" s="4" t="s">
        <v>28</v>
      </c>
      <c r="D81" s="4" t="s">
        <v>88</v>
      </c>
      <c r="E81" s="4" t="s">
        <v>34</v>
      </c>
      <c r="F81" s="5">
        <v>600</v>
      </c>
      <c r="G81" s="6">
        <v>159.02000000000001</v>
      </c>
      <c r="H81" s="6">
        <v>954.12</v>
      </c>
      <c r="I81" s="4" t="s">
        <v>26</v>
      </c>
      <c r="J81" s="6">
        <v>-954.93</v>
      </c>
      <c r="K81" s="5">
        <v>0</v>
      </c>
      <c r="L81" s="4" t="s">
        <v>26</v>
      </c>
      <c r="M81" s="5">
        <v>0</v>
      </c>
      <c r="N81" s="5">
        <v>0</v>
      </c>
      <c r="O81" s="5">
        <v>0</v>
      </c>
      <c r="P81" s="6">
        <v>0.81</v>
      </c>
    </row>
    <row r="82" spans="1:16" ht="18" x14ac:dyDescent="0.25">
      <c r="A82" s="4" t="s">
        <v>89</v>
      </c>
      <c r="B82" s="4" t="s">
        <v>22</v>
      </c>
      <c r="C82" s="4" t="s">
        <v>28</v>
      </c>
      <c r="D82" s="4" t="s">
        <v>88</v>
      </c>
      <c r="E82" s="4" t="s">
        <v>90</v>
      </c>
      <c r="F82" s="5">
        <v>8</v>
      </c>
      <c r="G82" s="6">
        <v>34.619999999999997</v>
      </c>
      <c r="H82" s="6">
        <v>276.95999999999998</v>
      </c>
      <c r="I82" s="4" t="s">
        <v>40</v>
      </c>
      <c r="J82" s="6">
        <v>-927.91</v>
      </c>
      <c r="K82" s="5">
        <v>0</v>
      </c>
      <c r="L82" s="4" t="s">
        <v>26</v>
      </c>
      <c r="M82" s="5">
        <v>0</v>
      </c>
      <c r="N82" s="5">
        <v>0</v>
      </c>
      <c r="O82" s="5">
        <v>0</v>
      </c>
      <c r="P82" s="6">
        <v>32.03</v>
      </c>
    </row>
    <row r="83" spans="1:16" ht="18" x14ac:dyDescent="0.25">
      <c r="A83" s="4" t="s">
        <v>91</v>
      </c>
      <c r="B83" s="4" t="s">
        <v>22</v>
      </c>
      <c r="C83" s="4" t="s">
        <v>23</v>
      </c>
      <c r="D83" s="4" t="s">
        <v>92</v>
      </c>
      <c r="E83" s="4" t="s">
        <v>34</v>
      </c>
      <c r="F83" s="5">
        <v>1</v>
      </c>
      <c r="G83" s="5">
        <v>102200</v>
      </c>
      <c r="H83" s="5">
        <v>1022</v>
      </c>
      <c r="I83" s="4" t="s">
        <v>26</v>
      </c>
      <c r="J83" s="6">
        <v>1014.61</v>
      </c>
      <c r="K83" s="5">
        <v>0</v>
      </c>
      <c r="L83" s="4" t="s">
        <v>26</v>
      </c>
      <c r="M83" s="6">
        <v>26.08</v>
      </c>
      <c r="N83" s="6">
        <v>6.52</v>
      </c>
      <c r="O83" s="5">
        <v>0</v>
      </c>
      <c r="P83" s="6">
        <v>0.87</v>
      </c>
    </row>
    <row r="84" spans="1:16" ht="18" x14ac:dyDescent="0.25">
      <c r="A84" s="4" t="s">
        <v>93</v>
      </c>
      <c r="B84" s="4" t="s">
        <v>22</v>
      </c>
      <c r="C84" s="4" t="s">
        <v>23</v>
      </c>
      <c r="D84" s="4" t="s">
        <v>92</v>
      </c>
      <c r="E84" s="4" t="s">
        <v>34</v>
      </c>
      <c r="F84" s="5">
        <v>2</v>
      </c>
      <c r="G84" s="5">
        <v>81000</v>
      </c>
      <c r="H84" s="5">
        <v>1620</v>
      </c>
      <c r="I84" s="4" t="s">
        <v>26</v>
      </c>
      <c r="J84" s="6">
        <v>1573.42</v>
      </c>
      <c r="K84" s="5">
        <v>0</v>
      </c>
      <c r="L84" s="4" t="s">
        <v>26</v>
      </c>
      <c r="M84" s="6">
        <v>182.2</v>
      </c>
      <c r="N84" s="6">
        <v>45.2</v>
      </c>
      <c r="O84" s="5">
        <v>0</v>
      </c>
      <c r="P84" s="6">
        <v>1.38</v>
      </c>
    </row>
    <row r="85" spans="1:16" ht="18" x14ac:dyDescent="0.25">
      <c r="A85" s="4" t="s">
        <v>85</v>
      </c>
      <c r="B85" s="4" t="s">
        <v>22</v>
      </c>
      <c r="C85" s="4" t="s">
        <v>28</v>
      </c>
      <c r="D85" s="4" t="s">
        <v>92</v>
      </c>
      <c r="E85" s="4" t="s">
        <v>34</v>
      </c>
      <c r="F85" s="5">
        <v>7</v>
      </c>
      <c r="G85" s="5">
        <v>6548</v>
      </c>
      <c r="H85" s="6">
        <v>458.36</v>
      </c>
      <c r="I85" s="4" t="s">
        <v>26</v>
      </c>
      <c r="J85" s="6">
        <v>-458.75</v>
      </c>
      <c r="K85" s="5">
        <v>0</v>
      </c>
      <c r="L85" s="4" t="s">
        <v>26</v>
      </c>
      <c r="M85" s="5">
        <v>0</v>
      </c>
      <c r="N85" s="5">
        <v>0</v>
      </c>
      <c r="O85" s="5">
        <v>0</v>
      </c>
      <c r="P85" s="6">
        <v>0.39</v>
      </c>
    </row>
    <row r="86" spans="1:16" ht="18" x14ac:dyDescent="0.25">
      <c r="A86" s="4" t="s">
        <v>51</v>
      </c>
      <c r="B86" s="4" t="s">
        <v>22</v>
      </c>
      <c r="C86" s="4" t="s">
        <v>28</v>
      </c>
      <c r="D86" s="4" t="s">
        <v>92</v>
      </c>
      <c r="E86" s="4" t="s">
        <v>34</v>
      </c>
      <c r="F86" s="5">
        <v>45</v>
      </c>
      <c r="G86" s="5">
        <v>1434</v>
      </c>
      <c r="H86" s="6">
        <v>645.29999999999995</v>
      </c>
      <c r="I86" s="4" t="s">
        <v>26</v>
      </c>
      <c r="J86" s="6">
        <v>-645.85</v>
      </c>
      <c r="K86" s="5">
        <v>0</v>
      </c>
      <c r="L86" s="4" t="s">
        <v>26</v>
      </c>
      <c r="M86" s="5">
        <v>0</v>
      </c>
      <c r="N86" s="5">
        <v>0</v>
      </c>
      <c r="O86" s="5">
        <v>0</v>
      </c>
      <c r="P86" s="6">
        <v>0.55000000000000004</v>
      </c>
    </row>
    <row r="87" spans="1:16" ht="18" x14ac:dyDescent="0.25">
      <c r="A87" s="4" t="s">
        <v>94</v>
      </c>
      <c r="B87" s="4" t="s">
        <v>22</v>
      </c>
      <c r="C87" s="4" t="s">
        <v>23</v>
      </c>
      <c r="D87" s="4" t="s">
        <v>92</v>
      </c>
      <c r="E87" s="4" t="s">
        <v>34</v>
      </c>
      <c r="F87" s="5">
        <v>10</v>
      </c>
      <c r="G87" s="6">
        <v>687.79</v>
      </c>
      <c r="H87" s="6">
        <v>68.78</v>
      </c>
      <c r="I87" s="4" t="s">
        <v>26</v>
      </c>
      <c r="J87" s="6">
        <v>68.42</v>
      </c>
      <c r="K87" s="5">
        <v>0</v>
      </c>
      <c r="L87" s="4" t="s">
        <v>26</v>
      </c>
      <c r="M87" s="6">
        <v>1.45</v>
      </c>
      <c r="N87" s="6">
        <v>0.36</v>
      </c>
      <c r="O87" s="5">
        <v>0</v>
      </c>
      <c r="P87" s="5">
        <v>0</v>
      </c>
    </row>
    <row r="88" spans="1:16" ht="18" x14ac:dyDescent="0.25">
      <c r="A88" s="4" t="s">
        <v>95</v>
      </c>
      <c r="B88" s="4" t="s">
        <v>22</v>
      </c>
      <c r="C88" s="4" t="s">
        <v>23</v>
      </c>
      <c r="D88" s="4" t="s">
        <v>92</v>
      </c>
      <c r="E88" s="4" t="s">
        <v>34</v>
      </c>
      <c r="F88" s="5">
        <v>10</v>
      </c>
      <c r="G88" s="6">
        <v>557.85</v>
      </c>
      <c r="H88" s="6">
        <v>55.79</v>
      </c>
      <c r="I88" s="4" t="s">
        <v>26</v>
      </c>
      <c r="J88" s="6">
        <v>55.52</v>
      </c>
      <c r="K88" s="5">
        <v>0</v>
      </c>
      <c r="L88" s="4" t="s">
        <v>26</v>
      </c>
      <c r="M88" s="6">
        <v>1.08</v>
      </c>
      <c r="N88" s="6">
        <v>0.27</v>
      </c>
      <c r="O88" s="5">
        <v>0</v>
      </c>
      <c r="P88" s="5">
        <v>0</v>
      </c>
    </row>
    <row r="89" spans="1:16" ht="18" x14ac:dyDescent="0.25">
      <c r="A89" s="4" t="s">
        <v>91</v>
      </c>
      <c r="B89" s="4" t="s">
        <v>22</v>
      </c>
      <c r="C89" s="4" t="s">
        <v>23</v>
      </c>
      <c r="D89" s="4" t="s">
        <v>96</v>
      </c>
      <c r="E89" s="4" t="s">
        <v>34</v>
      </c>
      <c r="F89" s="5">
        <v>1</v>
      </c>
      <c r="G89" s="5">
        <v>108000</v>
      </c>
      <c r="H89" s="5">
        <v>1080</v>
      </c>
      <c r="I89" s="4" t="s">
        <v>26</v>
      </c>
      <c r="J89" s="6">
        <v>1027.4000000000001</v>
      </c>
      <c r="K89" s="5">
        <v>0</v>
      </c>
      <c r="L89" s="4" t="s">
        <v>26</v>
      </c>
      <c r="M89" s="6">
        <v>207.54</v>
      </c>
      <c r="N89" s="6">
        <v>51.68</v>
      </c>
      <c r="O89" s="5">
        <v>0</v>
      </c>
      <c r="P89" s="6">
        <v>0.92</v>
      </c>
    </row>
    <row r="90" spans="1:16" ht="18" x14ac:dyDescent="0.25">
      <c r="A90" s="4" t="s">
        <v>73</v>
      </c>
      <c r="B90" s="4" t="s">
        <v>22</v>
      </c>
      <c r="C90" s="4" t="s">
        <v>28</v>
      </c>
      <c r="D90" s="4" t="s">
        <v>96</v>
      </c>
      <c r="E90" s="4" t="s">
        <v>25</v>
      </c>
      <c r="F90" s="5">
        <v>40</v>
      </c>
      <c r="G90" s="5">
        <v>790</v>
      </c>
      <c r="H90" s="5">
        <v>316</v>
      </c>
      <c r="I90" s="4" t="s">
        <v>26</v>
      </c>
      <c r="J90" s="6">
        <v>-316.27</v>
      </c>
      <c r="K90" s="5">
        <v>0</v>
      </c>
      <c r="L90" s="4" t="s">
        <v>26</v>
      </c>
      <c r="M90" s="5">
        <v>0</v>
      </c>
      <c r="N90" s="5">
        <v>0</v>
      </c>
      <c r="O90" s="5">
        <v>0</v>
      </c>
      <c r="P90" s="6">
        <v>0.27</v>
      </c>
    </row>
    <row r="91" spans="1:16" ht="18" x14ac:dyDescent="0.25">
      <c r="A91" s="4" t="s">
        <v>97</v>
      </c>
      <c r="B91" s="4" t="s">
        <v>22</v>
      </c>
      <c r="C91" s="4" t="s">
        <v>23</v>
      </c>
      <c r="D91" s="4" t="s">
        <v>96</v>
      </c>
      <c r="E91" s="4" t="s">
        <v>34</v>
      </c>
      <c r="F91" s="5">
        <v>10</v>
      </c>
      <c r="G91" s="6">
        <v>290.79000000000002</v>
      </c>
      <c r="H91" s="6">
        <v>29.08</v>
      </c>
      <c r="I91" s="4" t="s">
        <v>26</v>
      </c>
      <c r="J91" s="6">
        <v>30.67</v>
      </c>
      <c r="K91" s="5">
        <v>0</v>
      </c>
      <c r="L91" s="4" t="s">
        <v>26</v>
      </c>
      <c r="M91" s="6">
        <v>-6.35</v>
      </c>
      <c r="N91" s="6">
        <v>-1.59</v>
      </c>
      <c r="O91" s="5">
        <v>0</v>
      </c>
      <c r="P91" s="5">
        <v>0</v>
      </c>
    </row>
    <row r="92" spans="1:16" ht="18" x14ac:dyDescent="0.25">
      <c r="A92" s="4" t="s">
        <v>79</v>
      </c>
      <c r="B92" s="4" t="s">
        <v>22</v>
      </c>
      <c r="C92" s="4" t="s">
        <v>28</v>
      </c>
      <c r="D92" s="4" t="s">
        <v>98</v>
      </c>
      <c r="E92" s="4" t="s">
        <v>34</v>
      </c>
      <c r="F92" s="5">
        <v>6</v>
      </c>
      <c r="G92" s="5">
        <v>3050</v>
      </c>
      <c r="H92" s="5">
        <v>183</v>
      </c>
      <c r="I92" s="4" t="s">
        <v>26</v>
      </c>
      <c r="J92" s="6">
        <v>-183.16</v>
      </c>
      <c r="K92" s="5">
        <v>0</v>
      </c>
      <c r="L92" s="4" t="s">
        <v>26</v>
      </c>
      <c r="M92" s="5">
        <v>0</v>
      </c>
      <c r="N92" s="5">
        <v>0</v>
      </c>
      <c r="O92" s="5">
        <v>0</v>
      </c>
      <c r="P92" s="6">
        <v>0.16</v>
      </c>
    </row>
    <row r="93" spans="1:16" ht="18" x14ac:dyDescent="0.25">
      <c r="A93" s="4" t="s">
        <v>61</v>
      </c>
      <c r="B93" s="4" t="s">
        <v>22</v>
      </c>
      <c r="C93" s="4" t="s">
        <v>28</v>
      </c>
      <c r="D93" s="4" t="s">
        <v>99</v>
      </c>
      <c r="E93" s="4" t="s">
        <v>25</v>
      </c>
      <c r="F93" s="5">
        <v>2</v>
      </c>
      <c r="G93" s="5">
        <v>20750</v>
      </c>
      <c r="H93" s="5">
        <v>415</v>
      </c>
      <c r="I93" s="4" t="s">
        <v>26</v>
      </c>
      <c r="J93" s="6">
        <v>-415.35</v>
      </c>
      <c r="K93" s="5">
        <v>0</v>
      </c>
      <c r="L93" s="4" t="s">
        <v>26</v>
      </c>
      <c r="M93" s="5">
        <v>0</v>
      </c>
      <c r="N93" s="5">
        <v>0</v>
      </c>
      <c r="O93" s="5">
        <v>0</v>
      </c>
      <c r="P93" s="6">
        <v>0.35</v>
      </c>
    </row>
    <row r="94" spans="1:16" ht="18" x14ac:dyDescent="0.25">
      <c r="A94" s="4" t="s">
        <v>100</v>
      </c>
      <c r="B94" s="4" t="s">
        <v>22</v>
      </c>
      <c r="C94" s="4" t="s">
        <v>28</v>
      </c>
      <c r="D94" s="4" t="s">
        <v>101</v>
      </c>
      <c r="E94" s="4" t="s">
        <v>25</v>
      </c>
      <c r="F94" s="5">
        <v>2</v>
      </c>
      <c r="G94" s="5">
        <v>7535</v>
      </c>
      <c r="H94" s="6">
        <v>150.69999999999999</v>
      </c>
      <c r="I94" s="4" t="s">
        <v>26</v>
      </c>
      <c r="J94" s="6">
        <v>-150.69999999999999</v>
      </c>
      <c r="K94" s="5">
        <v>0</v>
      </c>
      <c r="L94" s="4" t="s">
        <v>26</v>
      </c>
      <c r="M94" s="5">
        <v>0</v>
      </c>
      <c r="N94" s="5">
        <v>0</v>
      </c>
      <c r="O94" s="5">
        <v>0</v>
      </c>
      <c r="P94" s="5">
        <v>0</v>
      </c>
    </row>
    <row r="95" spans="1:16" ht="18" x14ac:dyDescent="0.25">
      <c r="A95" s="4" t="s">
        <v>48</v>
      </c>
      <c r="B95" s="4" t="s">
        <v>22</v>
      </c>
      <c r="C95" s="4" t="s">
        <v>28</v>
      </c>
      <c r="D95" s="4" t="s">
        <v>101</v>
      </c>
      <c r="E95" s="4" t="s">
        <v>25</v>
      </c>
      <c r="F95" s="5">
        <v>160</v>
      </c>
      <c r="G95" s="5">
        <v>390</v>
      </c>
      <c r="H95" s="5">
        <v>624</v>
      </c>
      <c r="I95" s="4" t="s">
        <v>26</v>
      </c>
      <c r="J95" s="6">
        <v>-624.53</v>
      </c>
      <c r="K95" s="5">
        <v>0</v>
      </c>
      <c r="L95" s="4" t="s">
        <v>26</v>
      </c>
      <c r="M95" s="5">
        <v>0</v>
      </c>
      <c r="N95" s="5">
        <v>0</v>
      </c>
      <c r="O95" s="5">
        <v>0</v>
      </c>
      <c r="P95" s="6">
        <v>0.53</v>
      </c>
    </row>
    <row r="96" spans="1:16" ht="18" x14ac:dyDescent="0.25">
      <c r="A96" s="4" t="s">
        <v>102</v>
      </c>
      <c r="B96" s="4" t="s">
        <v>22</v>
      </c>
      <c r="C96" s="4" t="s">
        <v>23</v>
      </c>
      <c r="D96" s="4" t="s">
        <v>101</v>
      </c>
      <c r="E96" s="4" t="s">
        <v>34</v>
      </c>
      <c r="F96" s="5">
        <v>10</v>
      </c>
      <c r="G96" s="5">
        <v>35780</v>
      </c>
      <c r="H96" s="5">
        <v>3578</v>
      </c>
      <c r="I96" s="4" t="s">
        <v>26</v>
      </c>
      <c r="J96" s="6">
        <v>3573.98</v>
      </c>
      <c r="K96" s="5">
        <v>0</v>
      </c>
      <c r="L96" s="4" t="s">
        <v>26</v>
      </c>
      <c r="M96" s="6">
        <v>405.06</v>
      </c>
      <c r="N96" s="6">
        <v>0.98</v>
      </c>
      <c r="O96" s="5">
        <v>0</v>
      </c>
      <c r="P96" s="6">
        <v>3.04</v>
      </c>
    </row>
    <row r="97" spans="1:16" ht="18" x14ac:dyDescent="0.25">
      <c r="A97" s="4" t="s">
        <v>103</v>
      </c>
      <c r="B97" s="4" t="s">
        <v>22</v>
      </c>
      <c r="C97" s="4" t="s">
        <v>23</v>
      </c>
      <c r="D97" s="4" t="s">
        <v>101</v>
      </c>
      <c r="E97" s="4" t="s">
        <v>34</v>
      </c>
      <c r="F97" s="5">
        <v>3</v>
      </c>
      <c r="G97" s="5">
        <v>30650</v>
      </c>
      <c r="H97" s="6">
        <v>919.5</v>
      </c>
      <c r="I97" s="4" t="s">
        <v>26</v>
      </c>
      <c r="J97" s="6">
        <v>914.9</v>
      </c>
      <c r="K97" s="5">
        <v>0</v>
      </c>
      <c r="L97" s="4" t="s">
        <v>26</v>
      </c>
      <c r="M97" s="6">
        <v>16.149999999999999</v>
      </c>
      <c r="N97" s="6">
        <v>3.82</v>
      </c>
      <c r="O97" s="5">
        <v>0</v>
      </c>
      <c r="P97" s="6">
        <v>0.78</v>
      </c>
    </row>
    <row r="98" spans="1:16" ht="18" x14ac:dyDescent="0.25">
      <c r="A98" s="4" t="s">
        <v>68</v>
      </c>
      <c r="B98" s="4" t="s">
        <v>22</v>
      </c>
      <c r="C98" s="4" t="s">
        <v>28</v>
      </c>
      <c r="D98" s="4" t="s">
        <v>101</v>
      </c>
      <c r="E98" s="4" t="s">
        <v>34</v>
      </c>
      <c r="F98" s="5">
        <v>90</v>
      </c>
      <c r="G98" s="5">
        <v>3585</v>
      </c>
      <c r="H98" s="6">
        <v>3226.5</v>
      </c>
      <c r="I98" s="4" t="s">
        <v>26</v>
      </c>
      <c r="J98" s="6">
        <v>-3229.24</v>
      </c>
      <c r="K98" s="5">
        <v>0</v>
      </c>
      <c r="L98" s="4" t="s">
        <v>26</v>
      </c>
      <c r="M98" s="5">
        <v>0</v>
      </c>
      <c r="N98" s="5">
        <v>0</v>
      </c>
      <c r="O98" s="5">
        <v>0</v>
      </c>
      <c r="P98" s="6">
        <v>2.74</v>
      </c>
    </row>
    <row r="99" spans="1:16" ht="18" x14ac:dyDescent="0.25">
      <c r="A99" s="4" t="s">
        <v>71</v>
      </c>
      <c r="B99" s="4" t="s">
        <v>22</v>
      </c>
      <c r="C99" s="4" t="s">
        <v>104</v>
      </c>
      <c r="D99" s="4" t="s">
        <v>105</v>
      </c>
      <c r="E99" s="4" t="s">
        <v>25</v>
      </c>
      <c r="F99" s="5">
        <v>0</v>
      </c>
      <c r="G99" s="5">
        <v>0</v>
      </c>
      <c r="H99" s="6">
        <v>11.48</v>
      </c>
      <c r="I99" s="4" t="s">
        <v>26</v>
      </c>
      <c r="J99" s="6">
        <v>11.48</v>
      </c>
      <c r="K99" s="5">
        <v>0</v>
      </c>
      <c r="L99" s="4" t="s">
        <v>26</v>
      </c>
      <c r="M99" s="5">
        <v>0</v>
      </c>
      <c r="N99" s="5">
        <v>0</v>
      </c>
      <c r="O99" s="5">
        <v>0</v>
      </c>
      <c r="P99" s="5">
        <v>0</v>
      </c>
    </row>
    <row r="100" spans="1:16" ht="18" x14ac:dyDescent="0.25">
      <c r="A100" s="4" t="s">
        <v>31</v>
      </c>
      <c r="B100" s="4" t="s">
        <v>22</v>
      </c>
      <c r="C100" s="4" t="s">
        <v>28</v>
      </c>
      <c r="D100" s="4" t="s">
        <v>106</v>
      </c>
      <c r="E100" s="4" t="s">
        <v>25</v>
      </c>
      <c r="F100" s="5">
        <v>1</v>
      </c>
      <c r="G100" s="5">
        <v>38950</v>
      </c>
      <c r="H100" s="6">
        <v>389.5</v>
      </c>
      <c r="I100" s="4" t="s">
        <v>26</v>
      </c>
      <c r="J100" s="6">
        <v>-389.83</v>
      </c>
      <c r="K100" s="5">
        <v>0</v>
      </c>
      <c r="L100" s="4" t="s">
        <v>26</v>
      </c>
      <c r="M100" s="5">
        <v>0</v>
      </c>
      <c r="N100" s="5">
        <v>0</v>
      </c>
      <c r="O100" s="5">
        <v>0</v>
      </c>
      <c r="P100" s="6">
        <v>0.33</v>
      </c>
    </row>
    <row r="101" spans="1:16" ht="18" x14ac:dyDescent="0.25">
      <c r="A101" s="4" t="s">
        <v>94</v>
      </c>
      <c r="B101" s="4" t="s">
        <v>22</v>
      </c>
      <c r="C101" s="4" t="s">
        <v>28</v>
      </c>
      <c r="D101" s="4" t="s">
        <v>106</v>
      </c>
      <c r="E101" s="4" t="s">
        <v>34</v>
      </c>
      <c r="F101" s="5">
        <v>6</v>
      </c>
      <c r="G101" s="6">
        <v>688.13</v>
      </c>
      <c r="H101" s="6">
        <v>41.29</v>
      </c>
      <c r="I101" s="4" t="s">
        <v>26</v>
      </c>
      <c r="J101" s="6">
        <v>-41.29</v>
      </c>
      <c r="K101" s="5">
        <v>0</v>
      </c>
      <c r="L101" s="4" t="s">
        <v>26</v>
      </c>
      <c r="M101" s="5">
        <v>0</v>
      </c>
      <c r="N101" s="5">
        <v>0</v>
      </c>
      <c r="O101" s="5">
        <v>0</v>
      </c>
      <c r="P101" s="5">
        <v>0</v>
      </c>
    </row>
    <row r="102" spans="1:16" ht="18" x14ac:dyDescent="0.25">
      <c r="A102" s="4" t="s">
        <v>95</v>
      </c>
      <c r="B102" s="4" t="s">
        <v>22</v>
      </c>
      <c r="C102" s="4" t="s">
        <v>28</v>
      </c>
      <c r="D102" s="4" t="s">
        <v>106</v>
      </c>
      <c r="E102" s="4" t="s">
        <v>34</v>
      </c>
      <c r="F102" s="5">
        <v>5</v>
      </c>
      <c r="G102" s="6">
        <v>564.71</v>
      </c>
      <c r="H102" s="6">
        <v>28.24</v>
      </c>
      <c r="I102" s="4" t="s">
        <v>26</v>
      </c>
      <c r="J102" s="6">
        <v>-28.24</v>
      </c>
      <c r="K102" s="5">
        <v>0</v>
      </c>
      <c r="L102" s="4" t="s">
        <v>26</v>
      </c>
      <c r="M102" s="5">
        <v>0</v>
      </c>
      <c r="N102" s="5">
        <v>0</v>
      </c>
      <c r="O102" s="5">
        <v>0</v>
      </c>
      <c r="P102" s="5">
        <v>0</v>
      </c>
    </row>
    <row r="103" spans="1:16" ht="18" x14ac:dyDescent="0.25">
      <c r="A103" s="4" t="s">
        <v>97</v>
      </c>
      <c r="B103" s="4" t="s">
        <v>22</v>
      </c>
      <c r="C103" s="4" t="s">
        <v>28</v>
      </c>
      <c r="D103" s="4" t="s">
        <v>106</v>
      </c>
      <c r="E103" s="4" t="s">
        <v>34</v>
      </c>
      <c r="F103" s="5">
        <v>5</v>
      </c>
      <c r="G103" s="6">
        <v>358.6</v>
      </c>
      <c r="H103" s="6">
        <v>17.93</v>
      </c>
      <c r="I103" s="4" t="s">
        <v>26</v>
      </c>
      <c r="J103" s="6">
        <v>-17.93</v>
      </c>
      <c r="K103" s="5">
        <v>0</v>
      </c>
      <c r="L103" s="4" t="s">
        <v>26</v>
      </c>
      <c r="M103" s="5">
        <v>0</v>
      </c>
      <c r="N103" s="5">
        <v>0</v>
      </c>
      <c r="O103" s="5">
        <v>0</v>
      </c>
      <c r="P103" s="5">
        <v>0</v>
      </c>
    </row>
    <row r="104" spans="1:16" ht="18" x14ac:dyDescent="0.25">
      <c r="A104" s="4" t="s">
        <v>107</v>
      </c>
      <c r="B104" s="4" t="s">
        <v>22</v>
      </c>
      <c r="C104" s="4" t="s">
        <v>23</v>
      </c>
      <c r="D104" s="4" t="s">
        <v>108</v>
      </c>
      <c r="E104" s="4" t="s">
        <v>25</v>
      </c>
      <c r="F104" s="5">
        <v>5</v>
      </c>
      <c r="G104" s="5">
        <v>11260</v>
      </c>
      <c r="H104" s="5">
        <v>563</v>
      </c>
      <c r="I104" s="4" t="s">
        <v>26</v>
      </c>
      <c r="J104" s="6">
        <v>562.52</v>
      </c>
      <c r="K104" s="5">
        <v>0</v>
      </c>
      <c r="L104" s="4" t="s">
        <v>26</v>
      </c>
      <c r="M104" s="6">
        <v>-42.49</v>
      </c>
      <c r="N104" s="5">
        <v>0</v>
      </c>
      <c r="O104" s="5">
        <v>0</v>
      </c>
      <c r="P104" s="6">
        <v>0.48</v>
      </c>
    </row>
    <row r="105" spans="1:16" ht="18" x14ac:dyDescent="0.25">
      <c r="A105" s="4" t="s">
        <v>86</v>
      </c>
      <c r="B105" s="4" t="s">
        <v>22</v>
      </c>
      <c r="C105" s="4" t="s">
        <v>28</v>
      </c>
      <c r="D105" s="4" t="s">
        <v>108</v>
      </c>
      <c r="E105" s="4" t="s">
        <v>34</v>
      </c>
      <c r="F105" s="5">
        <v>10</v>
      </c>
      <c r="G105" s="6">
        <v>1153.53</v>
      </c>
      <c r="H105" s="6">
        <v>115.35</v>
      </c>
      <c r="I105" s="4" t="s">
        <v>26</v>
      </c>
      <c r="J105" s="6">
        <v>-115.35</v>
      </c>
      <c r="K105" s="5">
        <v>0</v>
      </c>
      <c r="L105" s="4" t="s">
        <v>26</v>
      </c>
      <c r="M105" s="5">
        <v>0</v>
      </c>
      <c r="N105" s="5">
        <v>0</v>
      </c>
      <c r="O105" s="5">
        <v>0</v>
      </c>
      <c r="P105" s="5">
        <v>0</v>
      </c>
    </row>
    <row r="106" spans="1:16" ht="18" x14ac:dyDescent="0.25">
      <c r="A106" s="4" t="s">
        <v>100</v>
      </c>
      <c r="B106" s="4" t="s">
        <v>22</v>
      </c>
      <c r="C106" s="4" t="s">
        <v>104</v>
      </c>
      <c r="D106" s="4" t="s">
        <v>109</v>
      </c>
      <c r="E106" s="4" t="s">
        <v>25</v>
      </c>
      <c r="F106" s="5">
        <v>0</v>
      </c>
      <c r="G106" s="5">
        <v>0</v>
      </c>
      <c r="H106" s="6">
        <v>1.68</v>
      </c>
      <c r="I106" s="4" t="s">
        <v>26</v>
      </c>
      <c r="J106" s="6">
        <v>1.68</v>
      </c>
      <c r="K106" s="5">
        <v>0</v>
      </c>
      <c r="L106" s="4" t="s">
        <v>26</v>
      </c>
      <c r="M106" s="5">
        <v>0</v>
      </c>
      <c r="N106" s="5">
        <v>0</v>
      </c>
      <c r="O106" s="5">
        <v>0</v>
      </c>
      <c r="P106" s="5">
        <v>0</v>
      </c>
    </row>
    <row r="107" spans="1:16" ht="18" x14ac:dyDescent="0.25">
      <c r="A107" s="4" t="s">
        <v>100</v>
      </c>
      <c r="B107" s="4" t="s">
        <v>22</v>
      </c>
      <c r="C107" s="4" t="s">
        <v>28</v>
      </c>
      <c r="D107" s="4" t="s">
        <v>110</v>
      </c>
      <c r="E107" s="4" t="s">
        <v>25</v>
      </c>
      <c r="F107" s="5">
        <v>5</v>
      </c>
      <c r="G107" s="5">
        <v>7480</v>
      </c>
      <c r="H107" s="5">
        <v>374</v>
      </c>
      <c r="I107" s="4" t="s">
        <v>26</v>
      </c>
      <c r="J107" s="6">
        <v>-374.32</v>
      </c>
      <c r="K107" s="5">
        <v>0</v>
      </c>
      <c r="L107" s="4" t="s">
        <v>26</v>
      </c>
      <c r="M107" s="5">
        <v>0</v>
      </c>
      <c r="N107" s="5">
        <v>0</v>
      </c>
      <c r="O107" s="5">
        <v>0</v>
      </c>
      <c r="P107" s="6">
        <v>0.32</v>
      </c>
    </row>
    <row r="108" spans="1:16" ht="18" x14ac:dyDescent="0.25">
      <c r="A108" s="4" t="s">
        <v>76</v>
      </c>
      <c r="B108" s="4" t="s">
        <v>22</v>
      </c>
      <c r="C108" s="4" t="s">
        <v>23</v>
      </c>
      <c r="D108" s="4" t="s">
        <v>109</v>
      </c>
      <c r="E108" s="4" t="s">
        <v>25</v>
      </c>
      <c r="F108" s="5">
        <v>15</v>
      </c>
      <c r="G108" s="5">
        <v>3900</v>
      </c>
      <c r="H108" s="5">
        <v>585</v>
      </c>
      <c r="I108" s="4" t="s">
        <v>26</v>
      </c>
      <c r="J108" s="6">
        <v>584.5</v>
      </c>
      <c r="K108" s="5">
        <v>0</v>
      </c>
      <c r="L108" s="4" t="s">
        <v>26</v>
      </c>
      <c r="M108" s="6">
        <v>-158.33000000000001</v>
      </c>
      <c r="N108" s="5">
        <v>0</v>
      </c>
      <c r="O108" s="5">
        <v>0</v>
      </c>
      <c r="P108" s="6">
        <v>0.5</v>
      </c>
    </row>
    <row r="109" spans="1:16" ht="18" x14ac:dyDescent="0.25">
      <c r="A109" s="4" t="s">
        <v>64</v>
      </c>
      <c r="B109" s="4" t="s">
        <v>22</v>
      </c>
      <c r="C109" s="4" t="s">
        <v>28</v>
      </c>
      <c r="D109" s="4" t="s">
        <v>109</v>
      </c>
      <c r="E109" s="4" t="s">
        <v>25</v>
      </c>
      <c r="F109" s="5">
        <v>5</v>
      </c>
      <c r="G109" s="5">
        <v>9227</v>
      </c>
      <c r="H109" s="6">
        <v>461.35</v>
      </c>
      <c r="I109" s="4" t="s">
        <v>26</v>
      </c>
      <c r="J109" s="6">
        <v>-461.74</v>
      </c>
      <c r="K109" s="5">
        <v>0</v>
      </c>
      <c r="L109" s="4" t="s">
        <v>26</v>
      </c>
      <c r="M109" s="5">
        <v>0</v>
      </c>
      <c r="N109" s="5">
        <v>0</v>
      </c>
      <c r="O109" s="5">
        <v>0</v>
      </c>
      <c r="P109" s="6">
        <v>0.39</v>
      </c>
    </row>
    <row r="110" spans="1:16" ht="18" x14ac:dyDescent="0.25">
      <c r="A110" s="4" t="s">
        <v>94</v>
      </c>
      <c r="B110" s="4" t="s">
        <v>22</v>
      </c>
      <c r="C110" s="4" t="s">
        <v>28</v>
      </c>
      <c r="D110" s="4" t="s">
        <v>109</v>
      </c>
      <c r="E110" s="4" t="s">
        <v>34</v>
      </c>
      <c r="F110" s="5">
        <v>4</v>
      </c>
      <c r="G110" s="6">
        <v>650.67999999999995</v>
      </c>
      <c r="H110" s="6">
        <v>26.03</v>
      </c>
      <c r="I110" s="4" t="s">
        <v>26</v>
      </c>
      <c r="J110" s="6">
        <v>-26.03</v>
      </c>
      <c r="K110" s="5">
        <v>0</v>
      </c>
      <c r="L110" s="4" t="s">
        <v>26</v>
      </c>
      <c r="M110" s="5">
        <v>0</v>
      </c>
      <c r="N110" s="5">
        <v>0</v>
      </c>
      <c r="O110" s="5">
        <v>0</v>
      </c>
      <c r="P110" s="5">
        <v>0</v>
      </c>
    </row>
    <row r="111" spans="1:16" ht="18" x14ac:dyDescent="0.25">
      <c r="A111" s="4" t="s">
        <v>95</v>
      </c>
      <c r="B111" s="4" t="s">
        <v>22</v>
      </c>
      <c r="C111" s="4" t="s">
        <v>28</v>
      </c>
      <c r="D111" s="4" t="s">
        <v>109</v>
      </c>
      <c r="E111" s="4" t="s">
        <v>34</v>
      </c>
      <c r="F111" s="5">
        <v>5</v>
      </c>
      <c r="G111" s="6">
        <v>529.27</v>
      </c>
      <c r="H111" s="6">
        <v>26.46</v>
      </c>
      <c r="I111" s="4" t="s">
        <v>26</v>
      </c>
      <c r="J111" s="6">
        <v>-26.46</v>
      </c>
      <c r="K111" s="5">
        <v>0</v>
      </c>
      <c r="L111" s="4" t="s">
        <v>26</v>
      </c>
      <c r="M111" s="5">
        <v>0</v>
      </c>
      <c r="N111" s="5">
        <v>0</v>
      </c>
      <c r="O111" s="5">
        <v>0</v>
      </c>
      <c r="P111" s="5">
        <v>0</v>
      </c>
    </row>
    <row r="112" spans="1:16" ht="18" x14ac:dyDescent="0.25">
      <c r="A112" s="4" t="s">
        <v>59</v>
      </c>
      <c r="B112" s="4" t="s">
        <v>22</v>
      </c>
      <c r="C112" s="4" t="s">
        <v>23</v>
      </c>
      <c r="D112" s="4" t="s">
        <v>109</v>
      </c>
      <c r="E112" s="4" t="s">
        <v>34</v>
      </c>
      <c r="F112" s="5">
        <v>250</v>
      </c>
      <c r="G112" s="6">
        <v>174.51</v>
      </c>
      <c r="H112" s="6">
        <v>436.28</v>
      </c>
      <c r="I112" s="4" t="s">
        <v>26</v>
      </c>
      <c r="J112" s="6">
        <v>435.91</v>
      </c>
      <c r="K112" s="5">
        <v>0</v>
      </c>
      <c r="L112" s="4" t="s">
        <v>26</v>
      </c>
      <c r="M112" s="6">
        <v>-10.33</v>
      </c>
      <c r="N112" s="5">
        <v>0</v>
      </c>
      <c r="O112" s="5">
        <v>0</v>
      </c>
      <c r="P112" s="6">
        <v>0.37</v>
      </c>
    </row>
    <row r="113" spans="1:16" ht="18" x14ac:dyDescent="0.25">
      <c r="A113" s="4" t="s">
        <v>97</v>
      </c>
      <c r="B113" s="4" t="s">
        <v>22</v>
      </c>
      <c r="C113" s="4" t="s">
        <v>28</v>
      </c>
      <c r="D113" s="4" t="s">
        <v>109</v>
      </c>
      <c r="E113" s="4" t="s">
        <v>34</v>
      </c>
      <c r="F113" s="5">
        <v>5</v>
      </c>
      <c r="G113" s="6">
        <v>349.58</v>
      </c>
      <c r="H113" s="6">
        <v>17.48</v>
      </c>
      <c r="I113" s="4" t="s">
        <v>26</v>
      </c>
      <c r="J113" s="6">
        <v>-17.48</v>
      </c>
      <c r="K113" s="5">
        <v>0</v>
      </c>
      <c r="L113" s="4" t="s">
        <v>26</v>
      </c>
      <c r="M113" s="5">
        <v>0</v>
      </c>
      <c r="N113" s="5">
        <v>0</v>
      </c>
      <c r="O113" s="5">
        <v>0</v>
      </c>
      <c r="P113" s="5">
        <v>0</v>
      </c>
    </row>
    <row r="114" spans="1:16" ht="18" x14ac:dyDescent="0.25">
      <c r="A114" s="4" t="s">
        <v>76</v>
      </c>
      <c r="B114" s="4" t="s">
        <v>22</v>
      </c>
      <c r="C114" s="4" t="s">
        <v>23</v>
      </c>
      <c r="D114" s="4" t="s">
        <v>111</v>
      </c>
      <c r="E114" s="4" t="s">
        <v>25</v>
      </c>
      <c r="F114" s="5">
        <v>20</v>
      </c>
      <c r="G114" s="5">
        <v>4146</v>
      </c>
      <c r="H114" s="6">
        <v>829.2</v>
      </c>
      <c r="I114" s="4" t="s">
        <v>26</v>
      </c>
      <c r="J114" s="6">
        <v>828.5</v>
      </c>
      <c r="K114" s="5">
        <v>0</v>
      </c>
      <c r="L114" s="4" t="s">
        <v>26</v>
      </c>
      <c r="M114" s="6">
        <v>-75.27</v>
      </c>
      <c r="N114" s="5">
        <v>0</v>
      </c>
      <c r="O114" s="5">
        <v>0</v>
      </c>
      <c r="P114" s="6">
        <v>0.7</v>
      </c>
    </row>
    <row r="115" spans="1:16" ht="18" x14ac:dyDescent="0.25">
      <c r="A115" s="4" t="s">
        <v>59</v>
      </c>
      <c r="B115" s="4" t="s">
        <v>22</v>
      </c>
      <c r="C115" s="4" t="s">
        <v>23</v>
      </c>
      <c r="D115" s="4" t="s">
        <v>111</v>
      </c>
      <c r="E115" s="4" t="s">
        <v>34</v>
      </c>
      <c r="F115" s="5">
        <v>500</v>
      </c>
      <c r="G115" s="6">
        <v>173.91</v>
      </c>
      <c r="H115" s="6">
        <v>869.55</v>
      </c>
      <c r="I115" s="4" t="s">
        <v>26</v>
      </c>
      <c r="J115" s="6">
        <v>868.81</v>
      </c>
      <c r="K115" s="5">
        <v>0</v>
      </c>
      <c r="L115" s="4" t="s">
        <v>26</v>
      </c>
      <c r="M115" s="6">
        <v>-23.65</v>
      </c>
      <c r="N115" s="5">
        <v>0</v>
      </c>
      <c r="O115" s="5">
        <v>0</v>
      </c>
      <c r="P115" s="6">
        <v>0.74</v>
      </c>
    </row>
    <row r="116" spans="1:16" ht="18" x14ac:dyDescent="0.25">
      <c r="A116" s="4" t="s">
        <v>31</v>
      </c>
      <c r="B116" s="4" t="s">
        <v>22</v>
      </c>
      <c r="C116" s="4" t="s">
        <v>28</v>
      </c>
      <c r="D116" s="4" t="s">
        <v>112</v>
      </c>
      <c r="E116" s="4" t="s">
        <v>25</v>
      </c>
      <c r="F116" s="5">
        <v>2</v>
      </c>
      <c r="G116" s="5">
        <v>37200</v>
      </c>
      <c r="H116" s="5">
        <v>744</v>
      </c>
      <c r="I116" s="4" t="s">
        <v>26</v>
      </c>
      <c r="J116" s="6">
        <v>-744.63</v>
      </c>
      <c r="K116" s="5">
        <v>0</v>
      </c>
      <c r="L116" s="4" t="s">
        <v>26</v>
      </c>
      <c r="M116" s="5">
        <v>0</v>
      </c>
      <c r="N116" s="5">
        <v>0</v>
      </c>
      <c r="O116" s="5">
        <v>0</v>
      </c>
      <c r="P116" s="6">
        <v>0.63</v>
      </c>
    </row>
    <row r="117" spans="1:16" ht="18" x14ac:dyDescent="0.25">
      <c r="A117" s="4" t="s">
        <v>31</v>
      </c>
      <c r="B117" s="4" t="s">
        <v>22</v>
      </c>
      <c r="C117" s="4" t="s">
        <v>28</v>
      </c>
      <c r="D117" s="4" t="s">
        <v>112</v>
      </c>
      <c r="E117" s="4" t="s">
        <v>25</v>
      </c>
      <c r="F117" s="5">
        <v>2</v>
      </c>
      <c r="G117" s="5">
        <v>36800</v>
      </c>
      <c r="H117" s="5">
        <v>736</v>
      </c>
      <c r="I117" s="4" t="s">
        <v>26</v>
      </c>
      <c r="J117" s="6">
        <v>-736.62</v>
      </c>
      <c r="K117" s="5">
        <v>0</v>
      </c>
      <c r="L117" s="4" t="s">
        <v>26</v>
      </c>
      <c r="M117" s="5">
        <v>0</v>
      </c>
      <c r="N117" s="5">
        <v>0</v>
      </c>
      <c r="O117" s="5">
        <v>0</v>
      </c>
      <c r="P117" s="6">
        <v>0.62</v>
      </c>
    </row>
    <row r="118" spans="1:16" ht="18" x14ac:dyDescent="0.25">
      <c r="A118" s="4" t="s">
        <v>80</v>
      </c>
      <c r="B118" s="4" t="s">
        <v>22</v>
      </c>
      <c r="C118" s="4" t="s">
        <v>28</v>
      </c>
      <c r="D118" s="4" t="s">
        <v>113</v>
      </c>
      <c r="E118" s="4" t="s">
        <v>34</v>
      </c>
      <c r="F118" s="5">
        <v>100</v>
      </c>
      <c r="G118" s="6">
        <v>105.9</v>
      </c>
      <c r="H118" s="6">
        <v>105.9</v>
      </c>
      <c r="I118" s="4" t="s">
        <v>26</v>
      </c>
      <c r="J118" s="6">
        <v>-105.99</v>
      </c>
      <c r="K118" s="5">
        <v>0</v>
      </c>
      <c r="L118" s="4" t="s">
        <v>26</v>
      </c>
      <c r="M118" s="5">
        <v>0</v>
      </c>
      <c r="N118" s="5">
        <v>0</v>
      </c>
      <c r="O118" s="5">
        <v>0</v>
      </c>
      <c r="P118" s="6">
        <v>0.09</v>
      </c>
    </row>
    <row r="119" spans="1:16" ht="18" x14ac:dyDescent="0.25">
      <c r="A119" s="4" t="s">
        <v>107</v>
      </c>
      <c r="B119" s="4" t="s">
        <v>22</v>
      </c>
      <c r="C119" s="4" t="s">
        <v>28</v>
      </c>
      <c r="D119" s="4" t="s">
        <v>113</v>
      </c>
      <c r="E119" s="4" t="s">
        <v>25</v>
      </c>
      <c r="F119" s="5">
        <v>5</v>
      </c>
      <c r="G119" s="5">
        <v>12090</v>
      </c>
      <c r="H119" s="6">
        <v>604.5</v>
      </c>
      <c r="I119" s="4" t="s">
        <v>26</v>
      </c>
      <c r="J119" s="6">
        <v>-605.01</v>
      </c>
      <c r="K119" s="5">
        <v>0</v>
      </c>
      <c r="L119" s="4" t="s">
        <v>26</v>
      </c>
      <c r="M119" s="5">
        <v>0</v>
      </c>
      <c r="N119" s="5">
        <v>0</v>
      </c>
      <c r="O119" s="5">
        <v>0</v>
      </c>
      <c r="P119" s="6">
        <v>0.51</v>
      </c>
    </row>
    <row r="120" spans="1:16" ht="18" x14ac:dyDescent="0.25">
      <c r="A120" s="4" t="s">
        <v>83</v>
      </c>
      <c r="B120" s="4" t="s">
        <v>22</v>
      </c>
      <c r="C120" s="4" t="s">
        <v>28</v>
      </c>
      <c r="D120" s="4" t="s">
        <v>114</v>
      </c>
      <c r="E120" s="4" t="s">
        <v>34</v>
      </c>
      <c r="F120" s="5">
        <v>130</v>
      </c>
      <c r="G120" s="6">
        <v>212.32</v>
      </c>
      <c r="H120" s="6">
        <v>276.02</v>
      </c>
      <c r="I120" s="4" t="s">
        <v>26</v>
      </c>
      <c r="J120" s="6">
        <v>-276.25</v>
      </c>
      <c r="K120" s="5">
        <v>0</v>
      </c>
      <c r="L120" s="4" t="s">
        <v>26</v>
      </c>
      <c r="M120" s="5">
        <v>0</v>
      </c>
      <c r="N120" s="5">
        <v>0</v>
      </c>
      <c r="O120" s="5">
        <v>0</v>
      </c>
      <c r="P120" s="6">
        <v>0.23</v>
      </c>
    </row>
    <row r="121" spans="1:16" ht="18" x14ac:dyDescent="0.25">
      <c r="A121" s="4" t="s">
        <v>103</v>
      </c>
      <c r="B121" s="4" t="s">
        <v>22</v>
      </c>
      <c r="C121" s="4" t="s">
        <v>23</v>
      </c>
      <c r="D121" s="4" t="s">
        <v>114</v>
      </c>
      <c r="E121" s="4" t="s">
        <v>34</v>
      </c>
      <c r="F121" s="5">
        <v>2</v>
      </c>
      <c r="G121" s="5">
        <v>30500</v>
      </c>
      <c r="H121" s="5">
        <v>610</v>
      </c>
      <c r="I121" s="4" t="s">
        <v>26</v>
      </c>
      <c r="J121" s="6">
        <v>609.48</v>
      </c>
      <c r="K121" s="5">
        <v>0</v>
      </c>
      <c r="L121" s="4" t="s">
        <v>26</v>
      </c>
      <c r="M121" s="6">
        <v>7.77</v>
      </c>
      <c r="N121" s="5">
        <v>0</v>
      </c>
      <c r="O121" s="5">
        <v>0</v>
      </c>
      <c r="P121" s="6">
        <v>0.52</v>
      </c>
    </row>
    <row r="122" spans="1:16" ht="18" x14ac:dyDescent="0.25">
      <c r="A122" s="4" t="s">
        <v>102</v>
      </c>
      <c r="B122" s="4" t="s">
        <v>22</v>
      </c>
      <c r="C122" s="4" t="s">
        <v>28</v>
      </c>
      <c r="D122" s="4" t="s">
        <v>115</v>
      </c>
      <c r="E122" s="4" t="s">
        <v>34</v>
      </c>
      <c r="F122" s="5">
        <v>2</v>
      </c>
      <c r="G122" s="5">
        <v>33400</v>
      </c>
      <c r="H122" s="5">
        <v>668</v>
      </c>
      <c r="I122" s="4" t="s">
        <v>26</v>
      </c>
      <c r="J122" s="6">
        <v>-668.57</v>
      </c>
      <c r="K122" s="5">
        <v>0</v>
      </c>
      <c r="L122" s="4" t="s">
        <v>26</v>
      </c>
      <c r="M122" s="5">
        <v>0</v>
      </c>
      <c r="N122" s="5">
        <v>0</v>
      </c>
      <c r="O122" s="5">
        <v>0</v>
      </c>
      <c r="P122" s="6">
        <v>0.56999999999999995</v>
      </c>
    </row>
    <row r="123" spans="1:16" ht="18" x14ac:dyDescent="0.25">
      <c r="A123" s="4" t="s">
        <v>61</v>
      </c>
      <c r="B123" s="4" t="s">
        <v>22</v>
      </c>
      <c r="C123" s="4" t="s">
        <v>23</v>
      </c>
      <c r="D123" s="4" t="s">
        <v>115</v>
      </c>
      <c r="E123" s="4" t="s">
        <v>25</v>
      </c>
      <c r="F123" s="5">
        <v>4</v>
      </c>
      <c r="G123" s="5">
        <v>13750</v>
      </c>
      <c r="H123" s="5">
        <v>550</v>
      </c>
      <c r="I123" s="4" t="s">
        <v>26</v>
      </c>
      <c r="J123" s="6">
        <v>549.53</v>
      </c>
      <c r="K123" s="5">
        <v>0</v>
      </c>
      <c r="L123" s="4" t="s">
        <v>26</v>
      </c>
      <c r="M123" s="6">
        <v>-50.98</v>
      </c>
      <c r="N123" s="5">
        <v>0</v>
      </c>
      <c r="O123" s="5">
        <v>0</v>
      </c>
      <c r="P123" s="6">
        <v>0.47</v>
      </c>
    </row>
    <row r="124" spans="1:16" ht="18" x14ac:dyDescent="0.25">
      <c r="A124" s="4" t="s">
        <v>94</v>
      </c>
      <c r="B124" s="4" t="s">
        <v>22</v>
      </c>
      <c r="C124" s="4" t="s">
        <v>23</v>
      </c>
      <c r="D124" s="4" t="s">
        <v>116</v>
      </c>
      <c r="E124" s="4" t="s">
        <v>34</v>
      </c>
      <c r="F124" s="5">
        <v>2</v>
      </c>
      <c r="G124" s="6">
        <v>583.4</v>
      </c>
      <c r="H124" s="6">
        <v>11.67</v>
      </c>
      <c r="I124" s="4" t="s">
        <v>26</v>
      </c>
      <c r="J124" s="6">
        <v>11.67</v>
      </c>
      <c r="K124" s="5">
        <v>0</v>
      </c>
      <c r="L124" s="4" t="s">
        <v>26</v>
      </c>
      <c r="M124" s="6">
        <v>1.93</v>
      </c>
      <c r="N124" s="5">
        <v>0</v>
      </c>
      <c r="O124" s="5">
        <v>0</v>
      </c>
      <c r="P124" s="5">
        <v>0</v>
      </c>
    </row>
    <row r="125" spans="1:16" ht="18" x14ac:dyDescent="0.25">
      <c r="A125" s="4" t="s">
        <v>95</v>
      </c>
      <c r="B125" s="4" t="s">
        <v>22</v>
      </c>
      <c r="C125" s="4" t="s">
        <v>23</v>
      </c>
      <c r="D125" s="4" t="s">
        <v>116</v>
      </c>
      <c r="E125" s="4" t="s">
        <v>34</v>
      </c>
      <c r="F125" s="5">
        <v>3</v>
      </c>
      <c r="G125" s="6">
        <v>469.86</v>
      </c>
      <c r="H125" s="6">
        <v>14.1</v>
      </c>
      <c r="I125" s="4" t="s">
        <v>26</v>
      </c>
      <c r="J125" s="6">
        <v>14.1</v>
      </c>
      <c r="K125" s="5">
        <v>0</v>
      </c>
      <c r="L125" s="4" t="s">
        <v>26</v>
      </c>
      <c r="M125" s="6">
        <v>1.1100000000000001</v>
      </c>
      <c r="N125" s="5">
        <v>0</v>
      </c>
      <c r="O125" s="5">
        <v>0</v>
      </c>
      <c r="P125" s="5">
        <v>0</v>
      </c>
    </row>
    <row r="126" spans="1:16" ht="18" x14ac:dyDescent="0.25">
      <c r="A126" s="4" t="s">
        <v>97</v>
      </c>
      <c r="B126" s="4" t="s">
        <v>22</v>
      </c>
      <c r="C126" s="4" t="s">
        <v>23</v>
      </c>
      <c r="D126" s="4" t="s">
        <v>116</v>
      </c>
      <c r="E126" s="4" t="s">
        <v>34</v>
      </c>
      <c r="F126" s="5">
        <v>25</v>
      </c>
      <c r="G126" s="6">
        <v>290.19</v>
      </c>
      <c r="H126" s="6">
        <v>72.55</v>
      </c>
      <c r="I126" s="4" t="s">
        <v>26</v>
      </c>
      <c r="J126" s="6">
        <v>72.55</v>
      </c>
      <c r="K126" s="5">
        <v>0</v>
      </c>
      <c r="L126" s="4" t="s">
        <v>26</v>
      </c>
      <c r="M126" s="5">
        <v>8</v>
      </c>
      <c r="N126" s="5">
        <v>0</v>
      </c>
      <c r="O126" s="5">
        <v>0</v>
      </c>
      <c r="P126" s="5">
        <v>0</v>
      </c>
    </row>
    <row r="127" spans="1:16" ht="18" x14ac:dyDescent="0.25">
      <c r="A127" s="4" t="s">
        <v>117</v>
      </c>
      <c r="B127" s="4" t="s">
        <v>22</v>
      </c>
      <c r="C127" s="4" t="s">
        <v>23</v>
      </c>
      <c r="D127" s="4" t="s">
        <v>118</v>
      </c>
      <c r="E127" s="4" t="s">
        <v>34</v>
      </c>
      <c r="F127" s="5">
        <v>25</v>
      </c>
      <c r="G127" s="6">
        <v>166.84</v>
      </c>
      <c r="H127" s="6">
        <v>41.71</v>
      </c>
      <c r="I127" s="4" t="s">
        <v>26</v>
      </c>
      <c r="J127" s="6">
        <v>42.16</v>
      </c>
      <c r="K127" s="5">
        <v>0</v>
      </c>
      <c r="L127" s="4" t="s">
        <v>26</v>
      </c>
      <c r="M127" s="6">
        <v>-1.81</v>
      </c>
      <c r="N127" s="6">
        <v>-0.45</v>
      </c>
      <c r="O127" s="5">
        <v>0</v>
      </c>
      <c r="P127" s="5">
        <v>0</v>
      </c>
    </row>
    <row r="128" spans="1:16" ht="18" x14ac:dyDescent="0.25">
      <c r="A128" s="4" t="s">
        <v>71</v>
      </c>
      <c r="B128" s="4" t="s">
        <v>22</v>
      </c>
      <c r="C128" s="4" t="s">
        <v>28</v>
      </c>
      <c r="D128" s="4" t="s">
        <v>119</v>
      </c>
      <c r="E128" s="4" t="s">
        <v>25</v>
      </c>
      <c r="F128" s="5">
        <v>12</v>
      </c>
      <c r="G128" s="5">
        <v>4834</v>
      </c>
      <c r="H128" s="6">
        <v>580.08000000000004</v>
      </c>
      <c r="I128" s="4" t="s">
        <v>26</v>
      </c>
      <c r="J128" s="6">
        <v>-580.57000000000005</v>
      </c>
      <c r="K128" s="5">
        <v>0</v>
      </c>
      <c r="L128" s="4" t="s">
        <v>26</v>
      </c>
      <c r="M128" s="5">
        <v>0</v>
      </c>
      <c r="N128" s="5">
        <v>0</v>
      </c>
      <c r="O128" s="5">
        <v>0</v>
      </c>
      <c r="P128" s="6">
        <v>0.49</v>
      </c>
    </row>
    <row r="129" spans="1:16" ht="18" x14ac:dyDescent="0.25">
      <c r="A129" s="4" t="s">
        <v>61</v>
      </c>
      <c r="B129" s="4" t="s">
        <v>22</v>
      </c>
      <c r="C129" s="4" t="s">
        <v>28</v>
      </c>
      <c r="D129" s="4" t="s">
        <v>119</v>
      </c>
      <c r="E129" s="4" t="s">
        <v>25</v>
      </c>
      <c r="F129" s="5">
        <v>4</v>
      </c>
      <c r="G129" s="5">
        <v>15000</v>
      </c>
      <c r="H129" s="5">
        <v>600</v>
      </c>
      <c r="I129" s="4" t="s">
        <v>26</v>
      </c>
      <c r="J129" s="6">
        <v>-600.51</v>
      </c>
      <c r="K129" s="5">
        <v>0</v>
      </c>
      <c r="L129" s="4" t="s">
        <v>26</v>
      </c>
      <c r="M129" s="5">
        <v>0</v>
      </c>
      <c r="N129" s="5">
        <v>0</v>
      </c>
      <c r="O129" s="5">
        <v>0</v>
      </c>
      <c r="P129" s="6">
        <v>0.51</v>
      </c>
    </row>
    <row r="130" spans="1:16" ht="18" x14ac:dyDescent="0.25">
      <c r="A130" s="4" t="s">
        <v>120</v>
      </c>
      <c r="B130" s="4" t="s">
        <v>22</v>
      </c>
      <c r="C130" s="4" t="s">
        <v>23</v>
      </c>
      <c r="D130" s="4" t="s">
        <v>118</v>
      </c>
      <c r="E130" s="4" t="s">
        <v>34</v>
      </c>
      <c r="F130" s="5">
        <v>25</v>
      </c>
      <c r="G130" s="5">
        <v>1788</v>
      </c>
      <c r="H130" s="5">
        <v>447</v>
      </c>
      <c r="I130" s="4" t="s">
        <v>26</v>
      </c>
      <c r="J130" s="6">
        <v>447.06</v>
      </c>
      <c r="K130" s="5">
        <v>0</v>
      </c>
      <c r="L130" s="4" t="s">
        <v>26</v>
      </c>
      <c r="M130" s="6">
        <v>-1.76</v>
      </c>
      <c r="N130" s="6">
        <v>-0.44</v>
      </c>
      <c r="O130" s="5">
        <v>0</v>
      </c>
      <c r="P130" s="6">
        <v>0.38</v>
      </c>
    </row>
    <row r="131" spans="1:16" ht="18" x14ac:dyDescent="0.25">
      <c r="A131" s="4" t="s">
        <v>121</v>
      </c>
      <c r="B131" s="4" t="s">
        <v>22</v>
      </c>
      <c r="C131" s="4" t="s">
        <v>23</v>
      </c>
      <c r="D131" s="4" t="s">
        <v>119</v>
      </c>
      <c r="E131" s="4" t="s">
        <v>90</v>
      </c>
      <c r="F131" s="5">
        <v>4</v>
      </c>
      <c r="G131" s="6">
        <v>8.35</v>
      </c>
      <c r="H131" s="6">
        <v>33.4</v>
      </c>
      <c r="I131" s="4" t="s">
        <v>40</v>
      </c>
      <c r="J131" s="6">
        <v>65.459999999999994</v>
      </c>
      <c r="K131" s="5">
        <v>0</v>
      </c>
      <c r="L131" s="4" t="s">
        <v>26</v>
      </c>
      <c r="M131" s="6">
        <v>-127.55</v>
      </c>
      <c r="N131" s="6">
        <v>-15.37</v>
      </c>
      <c r="O131" s="5">
        <v>0</v>
      </c>
      <c r="P131" s="6">
        <v>27.06</v>
      </c>
    </row>
    <row r="132" spans="1:16" ht="18" x14ac:dyDescent="0.25">
      <c r="A132" s="4" t="s">
        <v>71</v>
      </c>
      <c r="B132" s="4" t="s">
        <v>22</v>
      </c>
      <c r="C132" s="4" t="s">
        <v>28</v>
      </c>
      <c r="D132" s="4" t="s">
        <v>122</v>
      </c>
      <c r="E132" s="4" t="s">
        <v>25</v>
      </c>
      <c r="F132" s="5">
        <v>9</v>
      </c>
      <c r="G132" s="5">
        <v>4800</v>
      </c>
      <c r="H132" s="5">
        <v>432</v>
      </c>
      <c r="I132" s="4" t="s">
        <v>26</v>
      </c>
      <c r="J132" s="6">
        <v>-432.37</v>
      </c>
      <c r="K132" s="5">
        <v>0</v>
      </c>
      <c r="L132" s="4" t="s">
        <v>26</v>
      </c>
      <c r="M132" s="5">
        <v>0</v>
      </c>
      <c r="N132" s="5">
        <v>0</v>
      </c>
      <c r="O132" s="5">
        <v>0</v>
      </c>
      <c r="P132" s="6">
        <v>0.37</v>
      </c>
    </row>
    <row r="133" spans="1:16" ht="18" x14ac:dyDescent="0.25">
      <c r="A133" s="4" t="s">
        <v>120</v>
      </c>
      <c r="B133" s="4" t="s">
        <v>22</v>
      </c>
      <c r="C133" s="4" t="s">
        <v>23</v>
      </c>
      <c r="D133" s="4" t="s">
        <v>122</v>
      </c>
      <c r="E133" s="4" t="s">
        <v>34</v>
      </c>
      <c r="F133" s="5">
        <v>25</v>
      </c>
      <c r="G133" s="5">
        <v>1814</v>
      </c>
      <c r="H133" s="6">
        <v>453.5</v>
      </c>
      <c r="I133" s="4" t="s">
        <v>26</v>
      </c>
      <c r="J133" s="6">
        <v>451.93</v>
      </c>
      <c r="K133" s="5">
        <v>0</v>
      </c>
      <c r="L133" s="4" t="s">
        <v>26</v>
      </c>
      <c r="M133" s="6">
        <v>4.7300000000000004</v>
      </c>
      <c r="N133" s="6">
        <v>1.18</v>
      </c>
      <c r="O133" s="5">
        <v>0</v>
      </c>
      <c r="P133" s="6">
        <v>0.39</v>
      </c>
    </row>
    <row r="134" spans="1:16" ht="18" x14ac:dyDescent="0.25">
      <c r="A134" s="4" t="s">
        <v>117</v>
      </c>
      <c r="B134" s="4" t="s">
        <v>22</v>
      </c>
      <c r="C134" s="4" t="s">
        <v>28</v>
      </c>
      <c r="D134" s="4" t="s">
        <v>123</v>
      </c>
      <c r="E134" s="4" t="s">
        <v>34</v>
      </c>
      <c r="F134" s="5">
        <v>25</v>
      </c>
      <c r="G134" s="6">
        <v>174.08</v>
      </c>
      <c r="H134" s="6">
        <v>43.52</v>
      </c>
      <c r="I134" s="4" t="s">
        <v>26</v>
      </c>
      <c r="J134" s="6">
        <v>-43.52</v>
      </c>
      <c r="K134" s="5">
        <v>0</v>
      </c>
      <c r="L134" s="4" t="s">
        <v>26</v>
      </c>
      <c r="M134" s="5">
        <v>0</v>
      </c>
      <c r="N134" s="5">
        <v>0</v>
      </c>
      <c r="O134" s="5">
        <v>0</v>
      </c>
      <c r="P134" s="5">
        <v>0</v>
      </c>
    </row>
    <row r="135" spans="1:16" ht="18" x14ac:dyDescent="0.25">
      <c r="A135" s="4" t="s">
        <v>91</v>
      </c>
      <c r="B135" s="4" t="s">
        <v>22</v>
      </c>
      <c r="C135" s="4" t="s">
        <v>28</v>
      </c>
      <c r="D135" s="4" t="s">
        <v>124</v>
      </c>
      <c r="E135" s="4" t="s">
        <v>34</v>
      </c>
      <c r="F135" s="5">
        <v>1</v>
      </c>
      <c r="G135" s="5">
        <v>99420</v>
      </c>
      <c r="H135" s="6">
        <v>994.2</v>
      </c>
      <c r="I135" s="4" t="s">
        <v>26</v>
      </c>
      <c r="J135" s="6">
        <v>-995.05</v>
      </c>
      <c r="K135" s="5">
        <v>0</v>
      </c>
      <c r="L135" s="4" t="s">
        <v>26</v>
      </c>
      <c r="M135" s="5">
        <v>0</v>
      </c>
      <c r="N135" s="5">
        <v>0</v>
      </c>
      <c r="O135" s="5">
        <v>0</v>
      </c>
      <c r="P135" s="6">
        <v>0.85</v>
      </c>
    </row>
    <row r="136" spans="1:16" ht="18" x14ac:dyDescent="0.25">
      <c r="A136" s="4" t="s">
        <v>76</v>
      </c>
      <c r="B136" s="4" t="s">
        <v>22</v>
      </c>
      <c r="C136" s="4" t="s">
        <v>28</v>
      </c>
      <c r="D136" s="4" t="s">
        <v>123</v>
      </c>
      <c r="E136" s="4" t="s">
        <v>25</v>
      </c>
      <c r="F136" s="5">
        <v>15</v>
      </c>
      <c r="G136" s="5">
        <v>4948</v>
      </c>
      <c r="H136" s="6">
        <v>742.2</v>
      </c>
      <c r="I136" s="4" t="s">
        <v>26</v>
      </c>
      <c r="J136" s="6">
        <v>-742.83</v>
      </c>
      <c r="K136" s="5">
        <v>0</v>
      </c>
      <c r="L136" s="4" t="s">
        <v>26</v>
      </c>
      <c r="M136" s="5">
        <v>0</v>
      </c>
      <c r="N136" s="5">
        <v>0</v>
      </c>
      <c r="O136" s="5">
        <v>0</v>
      </c>
      <c r="P136" s="6">
        <v>0.63</v>
      </c>
    </row>
    <row r="137" spans="1:16" ht="18" x14ac:dyDescent="0.25">
      <c r="A137" s="4" t="s">
        <v>59</v>
      </c>
      <c r="B137" s="4" t="s">
        <v>22</v>
      </c>
      <c r="C137" s="4" t="s">
        <v>23</v>
      </c>
      <c r="D137" s="4" t="s">
        <v>125</v>
      </c>
      <c r="E137" s="4" t="s">
        <v>34</v>
      </c>
      <c r="F137" s="5">
        <v>1114</v>
      </c>
      <c r="G137" s="6">
        <v>180.96</v>
      </c>
      <c r="H137" s="6">
        <v>2015.89</v>
      </c>
      <c r="I137" s="4" t="s">
        <v>26</v>
      </c>
      <c r="J137" s="6">
        <v>2008.21</v>
      </c>
      <c r="K137" s="5">
        <v>0</v>
      </c>
      <c r="L137" s="4" t="s">
        <v>26</v>
      </c>
      <c r="M137" s="6">
        <v>25.79</v>
      </c>
      <c r="N137" s="6">
        <v>5.97</v>
      </c>
      <c r="O137" s="5">
        <v>0</v>
      </c>
      <c r="P137" s="6">
        <v>1.71</v>
      </c>
    </row>
    <row r="138" spans="1:16" ht="18" x14ac:dyDescent="0.25">
      <c r="A138" s="4" t="s">
        <v>97</v>
      </c>
      <c r="B138" s="4" t="s">
        <v>22</v>
      </c>
      <c r="C138" s="4" t="s">
        <v>28</v>
      </c>
      <c r="D138" s="4" t="s">
        <v>125</v>
      </c>
      <c r="E138" s="4" t="s">
        <v>34</v>
      </c>
      <c r="F138" s="5">
        <v>25</v>
      </c>
      <c r="G138" s="6">
        <v>258.16000000000003</v>
      </c>
      <c r="H138" s="6">
        <v>64.540000000000006</v>
      </c>
      <c r="I138" s="4" t="s">
        <v>26</v>
      </c>
      <c r="J138" s="6">
        <v>-64.540000000000006</v>
      </c>
      <c r="K138" s="5">
        <v>0</v>
      </c>
      <c r="L138" s="4" t="s">
        <v>26</v>
      </c>
      <c r="M138" s="5">
        <v>0</v>
      </c>
      <c r="N138" s="5">
        <v>0</v>
      </c>
      <c r="O138" s="5">
        <v>0</v>
      </c>
      <c r="P138" s="5">
        <v>0</v>
      </c>
    </row>
    <row r="139" spans="1:16" ht="18" x14ac:dyDescent="0.25">
      <c r="A139" s="4" t="s">
        <v>120</v>
      </c>
      <c r="B139" s="4" t="s">
        <v>22</v>
      </c>
      <c r="C139" s="4" t="s">
        <v>23</v>
      </c>
      <c r="D139" s="4" t="s">
        <v>126</v>
      </c>
      <c r="E139" s="4" t="s">
        <v>34</v>
      </c>
      <c r="F139" s="5">
        <v>50</v>
      </c>
      <c r="G139" s="5">
        <v>1772</v>
      </c>
      <c r="H139" s="5">
        <v>886</v>
      </c>
      <c r="I139" s="4" t="s">
        <v>26</v>
      </c>
      <c r="J139" s="6">
        <v>888.13</v>
      </c>
      <c r="K139" s="5">
        <v>0</v>
      </c>
      <c r="L139" s="4" t="s">
        <v>26</v>
      </c>
      <c r="M139" s="6">
        <v>-11.51</v>
      </c>
      <c r="N139" s="6">
        <v>-2.88</v>
      </c>
      <c r="O139" s="5">
        <v>0</v>
      </c>
      <c r="P139" s="6">
        <v>0.75</v>
      </c>
    </row>
    <row r="140" spans="1:16" ht="18" x14ac:dyDescent="0.25">
      <c r="A140" s="4" t="s">
        <v>76</v>
      </c>
      <c r="B140" s="4" t="s">
        <v>22</v>
      </c>
      <c r="C140" s="4" t="s">
        <v>28</v>
      </c>
      <c r="D140" s="4" t="s">
        <v>127</v>
      </c>
      <c r="E140" s="4" t="s">
        <v>25</v>
      </c>
      <c r="F140" s="5">
        <v>20</v>
      </c>
      <c r="G140" s="5">
        <v>4515</v>
      </c>
      <c r="H140" s="5">
        <v>903</v>
      </c>
      <c r="I140" s="4" t="s">
        <v>26</v>
      </c>
      <c r="J140" s="6">
        <v>-903.77</v>
      </c>
      <c r="K140" s="5">
        <v>0</v>
      </c>
      <c r="L140" s="4" t="s">
        <v>26</v>
      </c>
      <c r="M140" s="5">
        <v>0</v>
      </c>
      <c r="N140" s="5">
        <v>0</v>
      </c>
      <c r="O140" s="5">
        <v>0</v>
      </c>
      <c r="P140" s="6">
        <v>0.77</v>
      </c>
    </row>
    <row r="141" spans="1:16" ht="18" x14ac:dyDescent="0.25">
      <c r="A141" s="4" t="s">
        <v>121</v>
      </c>
      <c r="B141" s="4" t="s">
        <v>22</v>
      </c>
      <c r="C141" s="4" t="s">
        <v>28</v>
      </c>
      <c r="D141" s="4" t="s">
        <v>128</v>
      </c>
      <c r="E141" s="4" t="s">
        <v>90</v>
      </c>
      <c r="F141" s="5">
        <v>4</v>
      </c>
      <c r="G141" s="5">
        <v>11</v>
      </c>
      <c r="H141" s="5">
        <v>44</v>
      </c>
      <c r="I141" s="4" t="s">
        <v>40</v>
      </c>
      <c r="J141" s="6">
        <v>-192.98</v>
      </c>
      <c r="K141" s="5">
        <v>0</v>
      </c>
      <c r="L141" s="4" t="s">
        <v>26</v>
      </c>
      <c r="M141" s="5">
        <v>0</v>
      </c>
      <c r="N141" s="5">
        <v>0</v>
      </c>
      <c r="O141" s="5">
        <v>0</v>
      </c>
      <c r="P141" s="6">
        <v>32.549999999999997</v>
      </c>
    </row>
    <row r="142" spans="1:16" ht="18" x14ac:dyDescent="0.25">
      <c r="A142" s="4" t="s">
        <v>95</v>
      </c>
      <c r="B142" s="4" t="s">
        <v>22</v>
      </c>
      <c r="C142" s="4" t="s">
        <v>28</v>
      </c>
      <c r="D142" s="4" t="s">
        <v>129</v>
      </c>
      <c r="E142" s="4" t="s">
        <v>34</v>
      </c>
      <c r="F142" s="5">
        <v>3</v>
      </c>
      <c r="G142" s="6">
        <v>432.53</v>
      </c>
      <c r="H142" s="6">
        <v>12.98</v>
      </c>
      <c r="I142" s="4" t="s">
        <v>26</v>
      </c>
      <c r="J142" s="6">
        <v>-12.98</v>
      </c>
      <c r="K142" s="5">
        <v>0</v>
      </c>
      <c r="L142" s="4" t="s">
        <v>26</v>
      </c>
      <c r="M142" s="5">
        <v>0</v>
      </c>
      <c r="N142" s="5">
        <v>0</v>
      </c>
      <c r="O142" s="5">
        <v>0</v>
      </c>
      <c r="P142" s="5">
        <v>0</v>
      </c>
    </row>
    <row r="143" spans="1:16" ht="18" x14ac:dyDescent="0.25">
      <c r="A143" s="4" t="s">
        <v>103</v>
      </c>
      <c r="B143" s="4" t="s">
        <v>22</v>
      </c>
      <c r="C143" s="4" t="s">
        <v>23</v>
      </c>
      <c r="D143" s="4" t="s">
        <v>130</v>
      </c>
      <c r="E143" s="4" t="s">
        <v>34</v>
      </c>
      <c r="F143" s="5">
        <v>5</v>
      </c>
      <c r="G143" s="5">
        <v>31100</v>
      </c>
      <c r="H143" s="5">
        <v>1555</v>
      </c>
      <c r="I143" s="4" t="s">
        <v>26</v>
      </c>
      <c r="J143" s="6">
        <v>1541.69</v>
      </c>
      <c r="K143" s="5">
        <v>0</v>
      </c>
      <c r="L143" s="4" t="s">
        <v>26</v>
      </c>
      <c r="M143" s="6">
        <v>49.4</v>
      </c>
      <c r="N143" s="6">
        <v>11.99</v>
      </c>
      <c r="O143" s="5">
        <v>0</v>
      </c>
      <c r="P143" s="6">
        <v>1.32</v>
      </c>
    </row>
    <row r="144" spans="1:16" ht="18" x14ac:dyDescent="0.25">
      <c r="A144" s="4" t="s">
        <v>120</v>
      </c>
      <c r="B144" s="4" t="s">
        <v>22</v>
      </c>
      <c r="C144" s="4" t="s">
        <v>28</v>
      </c>
      <c r="D144" s="4" t="s">
        <v>131</v>
      </c>
      <c r="E144" s="4" t="s">
        <v>34</v>
      </c>
      <c r="F144" s="5">
        <v>100</v>
      </c>
      <c r="G144" s="5">
        <v>1792</v>
      </c>
      <c r="H144" s="5">
        <v>1792</v>
      </c>
      <c r="I144" s="4" t="s">
        <v>26</v>
      </c>
      <c r="J144" s="6">
        <v>-1793.52</v>
      </c>
      <c r="K144" s="5">
        <v>0</v>
      </c>
      <c r="L144" s="4" t="s">
        <v>26</v>
      </c>
      <c r="M144" s="5">
        <v>0</v>
      </c>
      <c r="N144" s="5">
        <v>0</v>
      </c>
      <c r="O144" s="5">
        <v>0</v>
      </c>
      <c r="P144" s="6">
        <v>1.52</v>
      </c>
    </row>
    <row r="145" spans="1:16" ht="18" x14ac:dyDescent="0.25">
      <c r="A145" s="4" t="s">
        <v>100</v>
      </c>
      <c r="B145" s="4" t="s">
        <v>22</v>
      </c>
      <c r="C145" s="4" t="s">
        <v>28</v>
      </c>
      <c r="D145" s="4" t="s">
        <v>132</v>
      </c>
      <c r="E145" s="4" t="s">
        <v>25</v>
      </c>
      <c r="F145" s="5">
        <v>2</v>
      </c>
      <c r="G145" s="5">
        <v>6184</v>
      </c>
      <c r="H145" s="6">
        <v>123.68</v>
      </c>
      <c r="I145" s="4" t="s">
        <v>26</v>
      </c>
      <c r="J145" s="6">
        <v>-123.68</v>
      </c>
      <c r="K145" s="5">
        <v>0</v>
      </c>
      <c r="L145" s="4" t="s">
        <v>26</v>
      </c>
      <c r="M145" s="5">
        <v>0</v>
      </c>
      <c r="N145" s="5">
        <v>0</v>
      </c>
      <c r="O145" s="5">
        <v>0</v>
      </c>
      <c r="P145" s="5">
        <v>0</v>
      </c>
    </row>
    <row r="146" spans="1:16" ht="18" x14ac:dyDescent="0.25">
      <c r="A146" s="4" t="s">
        <v>91</v>
      </c>
      <c r="B146" s="4" t="s">
        <v>22</v>
      </c>
      <c r="C146" s="4" t="s">
        <v>28</v>
      </c>
      <c r="D146" s="4" t="s">
        <v>133</v>
      </c>
      <c r="E146" s="4" t="s">
        <v>34</v>
      </c>
      <c r="F146" s="5">
        <v>1</v>
      </c>
      <c r="G146" s="5">
        <v>87080</v>
      </c>
      <c r="H146" s="6">
        <v>870.8</v>
      </c>
      <c r="I146" s="4" t="s">
        <v>26</v>
      </c>
      <c r="J146" s="6">
        <v>-871.54</v>
      </c>
      <c r="K146" s="5">
        <v>0</v>
      </c>
      <c r="L146" s="4" t="s">
        <v>26</v>
      </c>
      <c r="M146" s="5">
        <v>0</v>
      </c>
      <c r="N146" s="5">
        <v>0</v>
      </c>
      <c r="O146" s="5">
        <v>0</v>
      </c>
      <c r="P146" s="6">
        <v>0.74</v>
      </c>
    </row>
    <row r="147" spans="1:16" ht="18" x14ac:dyDescent="0.25">
      <c r="A147" s="4" t="s">
        <v>102</v>
      </c>
      <c r="B147" s="4" t="s">
        <v>22</v>
      </c>
      <c r="C147" s="4" t="s">
        <v>28</v>
      </c>
      <c r="D147" s="4" t="s">
        <v>133</v>
      </c>
      <c r="E147" s="4" t="s">
        <v>34</v>
      </c>
      <c r="F147" s="5">
        <v>8</v>
      </c>
      <c r="G147" s="5">
        <v>31240</v>
      </c>
      <c r="H147" s="6">
        <v>2499.1999999999998</v>
      </c>
      <c r="I147" s="4" t="s">
        <v>26</v>
      </c>
      <c r="J147" s="6">
        <v>-2501.3200000000002</v>
      </c>
      <c r="K147" s="5">
        <v>0</v>
      </c>
      <c r="L147" s="4" t="s">
        <v>26</v>
      </c>
      <c r="M147" s="5">
        <v>0</v>
      </c>
      <c r="N147" s="5">
        <v>0</v>
      </c>
      <c r="O147" s="5">
        <v>0</v>
      </c>
      <c r="P147" s="6">
        <v>2.12</v>
      </c>
    </row>
    <row r="148" spans="1:16" ht="18" x14ac:dyDescent="0.25">
      <c r="A148" s="4" t="s">
        <v>93</v>
      </c>
      <c r="B148" s="4" t="s">
        <v>22</v>
      </c>
      <c r="C148" s="4" t="s">
        <v>28</v>
      </c>
      <c r="D148" s="4" t="s">
        <v>133</v>
      </c>
      <c r="E148" s="4" t="s">
        <v>34</v>
      </c>
      <c r="F148" s="5">
        <v>2</v>
      </c>
      <c r="G148" s="5">
        <v>71760</v>
      </c>
      <c r="H148" s="6">
        <v>1435.2</v>
      </c>
      <c r="I148" s="4" t="s">
        <v>26</v>
      </c>
      <c r="J148" s="6">
        <v>-1436.42</v>
      </c>
      <c r="K148" s="5">
        <v>0</v>
      </c>
      <c r="L148" s="4" t="s">
        <v>26</v>
      </c>
      <c r="M148" s="5">
        <v>0</v>
      </c>
      <c r="N148" s="5">
        <v>0</v>
      </c>
      <c r="O148" s="5">
        <v>0</v>
      </c>
      <c r="P148" s="6">
        <v>1.22</v>
      </c>
    </row>
    <row r="149" spans="1:16" ht="18" x14ac:dyDescent="0.25">
      <c r="A149" s="4" t="s">
        <v>103</v>
      </c>
      <c r="B149" s="4" t="s">
        <v>22</v>
      </c>
      <c r="C149" s="4" t="s">
        <v>28</v>
      </c>
      <c r="D149" s="4" t="s">
        <v>133</v>
      </c>
      <c r="E149" s="4" t="s">
        <v>34</v>
      </c>
      <c r="F149" s="5">
        <v>10</v>
      </c>
      <c r="G149" s="5">
        <v>30060</v>
      </c>
      <c r="H149" s="5">
        <v>3006</v>
      </c>
      <c r="I149" s="4" t="s">
        <v>26</v>
      </c>
      <c r="J149" s="6">
        <v>-3008.56</v>
      </c>
      <c r="K149" s="5">
        <v>0</v>
      </c>
      <c r="L149" s="4" t="s">
        <v>26</v>
      </c>
      <c r="M149" s="5">
        <v>0</v>
      </c>
      <c r="N149" s="5">
        <v>0</v>
      </c>
      <c r="O149" s="5">
        <v>0</v>
      </c>
      <c r="P149" s="6">
        <v>2.56</v>
      </c>
    </row>
    <row r="150" spans="1:16" ht="18" x14ac:dyDescent="0.25">
      <c r="A150" s="4" t="s">
        <v>94</v>
      </c>
      <c r="B150" s="4" t="s">
        <v>22</v>
      </c>
      <c r="C150" s="4" t="s">
        <v>28</v>
      </c>
      <c r="D150" s="4" t="s">
        <v>133</v>
      </c>
      <c r="E150" s="4" t="s">
        <v>34</v>
      </c>
      <c r="F150" s="5">
        <v>2</v>
      </c>
      <c r="G150" s="6">
        <v>486.7</v>
      </c>
      <c r="H150" s="6">
        <v>9.73</v>
      </c>
      <c r="I150" s="4" t="s">
        <v>26</v>
      </c>
      <c r="J150" s="6">
        <v>-9.73</v>
      </c>
      <c r="K150" s="5">
        <v>0</v>
      </c>
      <c r="L150" s="4" t="s">
        <v>26</v>
      </c>
      <c r="M150" s="5">
        <v>0</v>
      </c>
      <c r="N150" s="5">
        <v>0</v>
      </c>
      <c r="O150" s="5">
        <v>0</v>
      </c>
      <c r="P150" s="5">
        <v>0</v>
      </c>
    </row>
    <row r="151" spans="1:16" ht="18" x14ac:dyDescent="0.25">
      <c r="A151" s="4" t="s">
        <v>59</v>
      </c>
      <c r="B151" s="4" t="s">
        <v>22</v>
      </c>
      <c r="C151" s="4" t="s">
        <v>28</v>
      </c>
      <c r="D151" s="4" t="s">
        <v>133</v>
      </c>
      <c r="E151" s="4" t="s">
        <v>34</v>
      </c>
      <c r="F151" s="5">
        <v>2114</v>
      </c>
      <c r="G151" s="6">
        <v>178.34</v>
      </c>
      <c r="H151" s="6">
        <v>3770.11</v>
      </c>
      <c r="I151" s="4" t="s">
        <v>26</v>
      </c>
      <c r="J151" s="6">
        <v>-3773.31</v>
      </c>
      <c r="K151" s="5">
        <v>0</v>
      </c>
      <c r="L151" s="4" t="s">
        <v>26</v>
      </c>
      <c r="M151" s="5">
        <v>0</v>
      </c>
      <c r="N151" s="5">
        <v>0</v>
      </c>
      <c r="O151" s="5">
        <v>0</v>
      </c>
      <c r="P151" s="6">
        <v>3.2</v>
      </c>
    </row>
  </sheetData>
  <autoFilter ref="A11:P11" xr:uid="{00000000-0009-0000-0000-000000000000}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ביצועים היסטוריים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2026-03-08T13:09:16Z</dcterms:created>
  <dcterms:modified xsi:type="dcterms:W3CDTF">2026-03-08T13:11:46Z</dcterms:modified>
  <cp:category/>
</cp:coreProperties>
</file>