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pe\Downloads\BURSA\"/>
    </mc:Choice>
  </mc:AlternateContent>
  <xr:revisionPtr revIDLastSave="0" documentId="13_ncr:1_{8115ACD5-F555-493E-B9FD-A73972332915}" xr6:coauthVersionLast="47" xr6:coauthVersionMax="47" xr10:uidLastSave="{00000000-0000-0000-0000-000000000000}"/>
  <bookViews>
    <workbookView xWindow="-120" yWindow="-120" windowWidth="29040" windowHeight="15720" xr2:uid="{0FEADB7F-661E-4DDD-A848-BDAD78678BF0}"/>
  </bookViews>
  <sheets>
    <sheet name="התיק העדכני" sheetId="1" r:id="rId1"/>
    <sheet name="GEMINI" sheetId="2" r:id="rId2"/>
    <sheet name="CHATGPT" sheetId="3" r:id="rId3"/>
    <sheet name="PERPLIXITY" sheetId="4" r:id="rId4"/>
    <sheet name="DEEPSEEK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G23" i="1" l="1"/>
  <c r="J23" i="1"/>
  <c r="L10" i="2"/>
  <c r="M10" i="2"/>
  <c r="L11" i="2"/>
  <c r="M11" i="2"/>
  <c r="L12" i="2"/>
  <c r="M12" i="2"/>
  <c r="L13" i="2"/>
  <c r="M13" i="2"/>
  <c r="C13" i="1" s="1"/>
  <c r="L14" i="2"/>
  <c r="M14" i="2"/>
  <c r="L15" i="2"/>
  <c r="M15" i="2"/>
  <c r="L16" i="2"/>
  <c r="M16" i="2"/>
  <c r="L13" i="5"/>
  <c r="M13" i="5"/>
  <c r="L14" i="5"/>
  <c r="M14" i="5"/>
  <c r="K23" i="1"/>
  <c r="L23" i="1"/>
  <c r="M23" i="1"/>
  <c r="N23" i="1"/>
  <c r="O23" i="1"/>
  <c r="A21" i="2"/>
  <c r="B21" i="2"/>
  <c r="C21" i="2"/>
  <c r="D21" i="2"/>
  <c r="A22" i="2"/>
  <c r="B22" i="2"/>
  <c r="C22" i="2"/>
  <c r="D22" i="2"/>
  <c r="B23" i="2"/>
  <c r="C23" i="2"/>
  <c r="D23" i="2"/>
  <c r="A24" i="2"/>
  <c r="B24" i="2"/>
  <c r="C24" i="2"/>
  <c r="D24" i="2"/>
  <c r="I20" i="2"/>
  <c r="L20" i="2"/>
  <c r="B20" i="1" s="1"/>
  <c r="M20" i="2"/>
  <c r="C20" i="1" s="1"/>
  <c r="C20" i="2"/>
  <c r="D20" i="2"/>
  <c r="I20" i="5"/>
  <c r="L20" i="5"/>
  <c r="M20" i="5"/>
  <c r="I21" i="5"/>
  <c r="L21" i="5"/>
  <c r="M21" i="5"/>
  <c r="C20" i="5"/>
  <c r="D20" i="5"/>
  <c r="A21" i="5"/>
  <c r="B21" i="5"/>
  <c r="C21" i="5"/>
  <c r="D21" i="5"/>
  <c r="I19" i="4"/>
  <c r="L19" i="4"/>
  <c r="M19" i="4"/>
  <c r="I20" i="4"/>
  <c r="L20" i="4"/>
  <c r="M20" i="4"/>
  <c r="A19" i="4"/>
  <c r="B19" i="4"/>
  <c r="C19" i="4"/>
  <c r="D19" i="4"/>
  <c r="C20" i="4"/>
  <c r="D20" i="4"/>
  <c r="A21" i="4"/>
  <c r="B21" i="4"/>
  <c r="C21" i="4"/>
  <c r="D21" i="4"/>
  <c r="I19" i="3"/>
  <c r="L19" i="3"/>
  <c r="M19" i="3"/>
  <c r="I20" i="3"/>
  <c r="L20" i="3"/>
  <c r="M20" i="3"/>
  <c r="C20" i="3"/>
  <c r="D20" i="3"/>
  <c r="A21" i="3"/>
  <c r="B21" i="3"/>
  <c r="C21" i="3"/>
  <c r="D21" i="3"/>
  <c r="P23" i="1"/>
  <c r="Q23" i="1"/>
  <c r="R23" i="1"/>
  <c r="S23" i="1"/>
  <c r="T23" i="1"/>
  <c r="I23" i="1"/>
  <c r="U23" i="1"/>
  <c r="V23" i="1"/>
  <c r="W23" i="1"/>
  <c r="X23" i="1"/>
  <c r="Y23" i="1"/>
  <c r="Z23" i="1"/>
  <c r="AA23" i="1"/>
  <c r="L13" i="4"/>
  <c r="M13" i="4"/>
  <c r="B13" i="1"/>
  <c r="L2" i="5" l="1"/>
  <c r="M2" i="5"/>
  <c r="L2" i="4"/>
  <c r="M2" i="4"/>
  <c r="L2" i="2"/>
  <c r="B2" i="1" s="1"/>
  <c r="M2" i="2"/>
  <c r="C2" i="1" s="1"/>
  <c r="L2" i="3"/>
  <c r="M2" i="3"/>
  <c r="L4" i="3"/>
  <c r="M4" i="3"/>
  <c r="L5" i="3"/>
  <c r="M5" i="3"/>
  <c r="L6" i="3"/>
  <c r="M6" i="3"/>
  <c r="L7" i="3"/>
  <c r="M7" i="3"/>
  <c r="L8" i="3"/>
  <c r="M8" i="3"/>
  <c r="L9" i="3"/>
  <c r="M9" i="3"/>
  <c r="L10" i="3"/>
  <c r="M10" i="3"/>
  <c r="L11" i="3"/>
  <c r="M11" i="3"/>
  <c r="L12" i="3"/>
  <c r="M12" i="3"/>
  <c r="L13" i="3"/>
  <c r="M13" i="3"/>
  <c r="L14" i="3"/>
  <c r="M14" i="3"/>
  <c r="L15" i="3"/>
  <c r="M15" i="3"/>
  <c r="L16" i="3"/>
  <c r="M16" i="3"/>
  <c r="L17" i="3"/>
  <c r="M17" i="3"/>
  <c r="L18" i="3"/>
  <c r="M18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C3" i="3"/>
  <c r="D3" i="3"/>
  <c r="C4" i="3"/>
  <c r="D4" i="3"/>
  <c r="C5" i="3"/>
  <c r="D5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A3" i="3"/>
  <c r="B3" i="3"/>
  <c r="A4" i="3"/>
  <c r="B4" i="3"/>
  <c r="A5" i="3"/>
  <c r="B5" i="3"/>
  <c r="A6" i="3"/>
  <c r="B6" i="3"/>
  <c r="A7" i="3"/>
  <c r="B7" i="3"/>
  <c r="A8" i="3"/>
  <c r="B8" i="3"/>
  <c r="A9" i="3"/>
  <c r="B9" i="3"/>
  <c r="A10" i="3"/>
  <c r="B10" i="3"/>
  <c r="A11" i="3"/>
  <c r="B11" i="3"/>
  <c r="A12" i="3"/>
  <c r="B12" i="3"/>
  <c r="A13" i="3"/>
  <c r="B13" i="3"/>
  <c r="A14" i="3"/>
  <c r="B14" i="3"/>
  <c r="A15" i="3"/>
  <c r="B15" i="3"/>
  <c r="A16" i="3"/>
  <c r="B16" i="3"/>
  <c r="A17" i="3"/>
  <c r="B17" i="3"/>
  <c r="A18" i="3"/>
  <c r="B18" i="3"/>
  <c r="A19" i="3"/>
  <c r="B19" i="3"/>
  <c r="CC2" i="1"/>
  <c r="CB2" i="1"/>
  <c r="AB23" i="1"/>
  <c r="AC23" i="1"/>
  <c r="AD23" i="1"/>
  <c r="A13" i="2"/>
  <c r="B13" i="2"/>
  <c r="C13" i="2"/>
  <c r="D13" i="2"/>
  <c r="A13" i="4"/>
  <c r="B13" i="4"/>
  <c r="C13" i="4"/>
  <c r="D13" i="4"/>
  <c r="A13" i="5"/>
  <c r="B13" i="5"/>
  <c r="C13" i="5"/>
  <c r="D13" i="5"/>
  <c r="I13" i="5"/>
  <c r="I13" i="2"/>
  <c r="I13" i="4"/>
  <c r="CC13" i="1"/>
  <c r="CB13" i="1"/>
  <c r="D13" i="1"/>
  <c r="I2" i="5"/>
  <c r="D2" i="5"/>
  <c r="C2" i="5"/>
  <c r="B2" i="5"/>
  <c r="A2" i="5"/>
  <c r="I2" i="4"/>
  <c r="D2" i="4"/>
  <c r="C2" i="4"/>
  <c r="B2" i="4"/>
  <c r="A2" i="4"/>
  <c r="I2" i="3"/>
  <c r="D2" i="3"/>
  <c r="C2" i="3"/>
  <c r="B2" i="3"/>
  <c r="A2" i="3"/>
  <c r="I2" i="2"/>
  <c r="A2" i="2"/>
  <c r="B2" i="2"/>
  <c r="C2" i="2"/>
  <c r="D2" i="2"/>
  <c r="AE23" i="1"/>
  <c r="AL23" i="1"/>
  <c r="AK23" i="1"/>
  <c r="AJ23" i="1"/>
  <c r="AI23" i="1"/>
  <c r="AH23" i="1"/>
  <c r="AG23" i="1"/>
  <c r="AF23" i="1"/>
  <c r="CB5" i="1"/>
  <c r="CB6" i="1"/>
  <c r="A4" i="5"/>
  <c r="B4" i="5"/>
  <c r="C4" i="5"/>
  <c r="D4" i="5"/>
  <c r="A5" i="5"/>
  <c r="B5" i="5"/>
  <c r="C5" i="5"/>
  <c r="D5" i="5"/>
  <c r="A6" i="5"/>
  <c r="B6" i="5"/>
  <c r="C6" i="5"/>
  <c r="D6" i="5"/>
  <c r="A7" i="5"/>
  <c r="B7" i="5"/>
  <c r="C7" i="5"/>
  <c r="D7" i="5"/>
  <c r="A8" i="5"/>
  <c r="B8" i="5"/>
  <c r="C8" i="5"/>
  <c r="D8" i="5"/>
  <c r="A9" i="5"/>
  <c r="B9" i="5"/>
  <c r="C9" i="5"/>
  <c r="D9" i="5"/>
  <c r="A10" i="5"/>
  <c r="B10" i="5"/>
  <c r="C10" i="5"/>
  <c r="D10" i="5"/>
  <c r="A11" i="5"/>
  <c r="B11" i="5"/>
  <c r="C11" i="5"/>
  <c r="D11" i="5"/>
  <c r="A12" i="5"/>
  <c r="B12" i="5"/>
  <c r="C12" i="5"/>
  <c r="D12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B17" i="5"/>
  <c r="C17" i="5"/>
  <c r="D17" i="5"/>
  <c r="A18" i="5"/>
  <c r="B18" i="5"/>
  <c r="C18" i="5"/>
  <c r="D18" i="5"/>
  <c r="A19" i="5"/>
  <c r="B19" i="5"/>
  <c r="C19" i="5"/>
  <c r="D19" i="5"/>
  <c r="A4" i="2"/>
  <c r="B4" i="2"/>
  <c r="C4" i="2"/>
  <c r="D4" i="2"/>
  <c r="A5" i="2"/>
  <c r="B5" i="2"/>
  <c r="C5" i="2"/>
  <c r="D5" i="2"/>
  <c r="A6" i="2"/>
  <c r="B6" i="2"/>
  <c r="C6" i="2"/>
  <c r="D6" i="2"/>
  <c r="A7" i="2"/>
  <c r="B7" i="2"/>
  <c r="C7" i="2"/>
  <c r="D7" i="2"/>
  <c r="A8" i="2"/>
  <c r="B8" i="2"/>
  <c r="C8" i="2"/>
  <c r="D8" i="2"/>
  <c r="A9" i="2"/>
  <c r="B9" i="2"/>
  <c r="C9" i="2"/>
  <c r="D9" i="2"/>
  <c r="A10" i="2"/>
  <c r="B10" i="2"/>
  <c r="C10" i="2"/>
  <c r="D10" i="2"/>
  <c r="A11" i="2"/>
  <c r="B11" i="2"/>
  <c r="C11" i="2"/>
  <c r="D11" i="2"/>
  <c r="A12" i="2"/>
  <c r="B12" i="2"/>
  <c r="C12" i="2"/>
  <c r="D12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B17" i="2"/>
  <c r="C17" i="2"/>
  <c r="D17" i="2"/>
  <c r="A18" i="2"/>
  <c r="B18" i="2"/>
  <c r="C18" i="2"/>
  <c r="D18" i="2"/>
  <c r="A19" i="2"/>
  <c r="B19" i="2"/>
  <c r="C19" i="2"/>
  <c r="D19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C28" i="2"/>
  <c r="D28" i="2"/>
  <c r="A4" i="4"/>
  <c r="B4" i="4"/>
  <c r="C4" i="4"/>
  <c r="D4" i="4"/>
  <c r="A5" i="4"/>
  <c r="B5" i="4"/>
  <c r="C5" i="4"/>
  <c r="D5" i="4"/>
  <c r="A6" i="4"/>
  <c r="B6" i="4"/>
  <c r="C6" i="4"/>
  <c r="D6" i="4"/>
  <c r="A7" i="4"/>
  <c r="B7" i="4"/>
  <c r="C7" i="4"/>
  <c r="D7" i="4"/>
  <c r="A8" i="4"/>
  <c r="B8" i="4"/>
  <c r="C8" i="4"/>
  <c r="D8" i="4"/>
  <c r="A9" i="4"/>
  <c r="B9" i="4"/>
  <c r="C9" i="4"/>
  <c r="D9" i="4"/>
  <c r="A10" i="4"/>
  <c r="B10" i="4"/>
  <c r="C10" i="4"/>
  <c r="D10" i="4"/>
  <c r="A11" i="4"/>
  <c r="B11" i="4"/>
  <c r="C11" i="4"/>
  <c r="D11" i="4"/>
  <c r="A12" i="4"/>
  <c r="B12" i="4"/>
  <c r="C12" i="4"/>
  <c r="D12" i="4"/>
  <c r="A14" i="4"/>
  <c r="B14" i="4"/>
  <c r="C14" i="4"/>
  <c r="D14" i="4"/>
  <c r="A15" i="4"/>
  <c r="B15" i="4"/>
  <c r="C15" i="4"/>
  <c r="D15" i="4"/>
  <c r="A16" i="4"/>
  <c r="B16" i="4"/>
  <c r="C16" i="4"/>
  <c r="D16" i="4"/>
  <c r="A17" i="4"/>
  <c r="B17" i="4"/>
  <c r="C17" i="4"/>
  <c r="D17" i="4"/>
  <c r="A18" i="4"/>
  <c r="B18" i="4"/>
  <c r="C18" i="4"/>
  <c r="D18" i="4"/>
  <c r="L4" i="5"/>
  <c r="M4" i="5"/>
  <c r="L5" i="5"/>
  <c r="M5" i="5"/>
  <c r="L6" i="5"/>
  <c r="M6" i="5"/>
  <c r="L7" i="5"/>
  <c r="M7" i="5"/>
  <c r="L8" i="5"/>
  <c r="M8" i="5"/>
  <c r="L9" i="5"/>
  <c r="M9" i="5"/>
  <c r="L10" i="5"/>
  <c r="M10" i="5"/>
  <c r="L11" i="5"/>
  <c r="M11" i="5"/>
  <c r="L12" i="5"/>
  <c r="M12" i="5"/>
  <c r="L15" i="5"/>
  <c r="M15" i="5"/>
  <c r="L16" i="5"/>
  <c r="M16" i="5"/>
  <c r="L17" i="5"/>
  <c r="M17" i="5"/>
  <c r="L18" i="5"/>
  <c r="M18" i="5"/>
  <c r="L19" i="5"/>
  <c r="M19" i="5"/>
  <c r="L4" i="4"/>
  <c r="M4" i="4"/>
  <c r="L5" i="4"/>
  <c r="M5" i="4"/>
  <c r="L6" i="4"/>
  <c r="M6" i="4"/>
  <c r="L7" i="4"/>
  <c r="M7" i="4"/>
  <c r="L8" i="4"/>
  <c r="M8" i="4"/>
  <c r="L9" i="4"/>
  <c r="M9" i="4"/>
  <c r="L10" i="4"/>
  <c r="M10" i="4"/>
  <c r="L11" i="4"/>
  <c r="M11" i="4"/>
  <c r="L12" i="4"/>
  <c r="M12" i="4"/>
  <c r="L14" i="4"/>
  <c r="M14" i="4"/>
  <c r="L15" i="4"/>
  <c r="M15" i="4"/>
  <c r="L16" i="4"/>
  <c r="M16" i="4"/>
  <c r="L17" i="4"/>
  <c r="M17" i="4"/>
  <c r="L18" i="4"/>
  <c r="M18" i="4"/>
  <c r="L4" i="2"/>
  <c r="B4" i="1" s="1"/>
  <c r="M4" i="2"/>
  <c r="C4" i="1" s="1"/>
  <c r="L5" i="2"/>
  <c r="B5" i="1" s="1"/>
  <c r="M5" i="2"/>
  <c r="C5" i="1" s="1"/>
  <c r="L6" i="2"/>
  <c r="B6" i="1" s="1"/>
  <c r="M6" i="2"/>
  <c r="C6" i="1" s="1"/>
  <c r="L7" i="2"/>
  <c r="B7" i="1" s="1"/>
  <c r="M7" i="2"/>
  <c r="C7" i="1" s="1"/>
  <c r="L8" i="2"/>
  <c r="B8" i="1" s="1"/>
  <c r="M8" i="2"/>
  <c r="C8" i="1" s="1"/>
  <c r="L9" i="2"/>
  <c r="B9" i="1" s="1"/>
  <c r="M9" i="2"/>
  <c r="C9" i="1" s="1"/>
  <c r="B10" i="1"/>
  <c r="C10" i="1"/>
  <c r="B11" i="1"/>
  <c r="C11" i="1"/>
  <c r="B12" i="1"/>
  <c r="C12" i="1"/>
  <c r="B14" i="1"/>
  <c r="C14" i="1"/>
  <c r="B15" i="1"/>
  <c r="C15" i="1"/>
  <c r="B16" i="1"/>
  <c r="C16" i="1"/>
  <c r="L17" i="2"/>
  <c r="B17" i="1" s="1"/>
  <c r="M17" i="2"/>
  <c r="C17" i="1" s="1"/>
  <c r="L18" i="2"/>
  <c r="B18" i="1" s="1"/>
  <c r="M18" i="2"/>
  <c r="C18" i="1" s="1"/>
  <c r="L19" i="2"/>
  <c r="B19" i="1" s="1"/>
  <c r="M19" i="2"/>
  <c r="C19" i="1" s="1"/>
  <c r="I4" i="4"/>
  <c r="I5" i="4"/>
  <c r="I6" i="4"/>
  <c r="I7" i="4"/>
  <c r="I8" i="4"/>
  <c r="I9" i="4"/>
  <c r="I10" i="4"/>
  <c r="I11" i="4"/>
  <c r="I12" i="4"/>
  <c r="I14" i="4"/>
  <c r="I15" i="4"/>
  <c r="I16" i="4"/>
  <c r="I17" i="4"/>
  <c r="I18" i="4"/>
  <c r="I4" i="2"/>
  <c r="I5" i="2"/>
  <c r="I6" i="2"/>
  <c r="I7" i="2"/>
  <c r="I8" i="2"/>
  <c r="I9" i="2"/>
  <c r="I10" i="2"/>
  <c r="I11" i="2"/>
  <c r="I12" i="2"/>
  <c r="I14" i="2"/>
  <c r="I15" i="2"/>
  <c r="I16" i="2"/>
  <c r="I17" i="2"/>
  <c r="I18" i="2"/>
  <c r="I19" i="2"/>
  <c r="I21" i="2"/>
  <c r="I22" i="2"/>
  <c r="I23" i="2"/>
  <c r="I24" i="2"/>
  <c r="I25" i="2"/>
  <c r="I26" i="2"/>
  <c r="I27" i="2"/>
  <c r="I28" i="2"/>
  <c r="I4" i="5"/>
  <c r="I5" i="5"/>
  <c r="I6" i="5"/>
  <c r="I7" i="5"/>
  <c r="I8" i="5"/>
  <c r="I9" i="5"/>
  <c r="I10" i="5"/>
  <c r="I11" i="5"/>
  <c r="I12" i="5"/>
  <c r="I14" i="5"/>
  <c r="I15" i="5"/>
  <c r="I16" i="5"/>
  <c r="I17" i="5"/>
  <c r="I18" i="5"/>
  <c r="I19" i="5"/>
  <c r="I3" i="5"/>
  <c r="I3" i="4"/>
  <c r="D3" i="5"/>
  <c r="C3" i="5"/>
  <c r="B3" i="5"/>
  <c r="A3" i="5"/>
  <c r="D3" i="4"/>
  <c r="C3" i="4"/>
  <c r="B3" i="4"/>
  <c r="A3" i="4"/>
  <c r="I3" i="2"/>
  <c r="D3" i="2"/>
  <c r="C3" i="2"/>
  <c r="B3" i="2"/>
  <c r="A3" i="2"/>
  <c r="CC3" i="1"/>
  <c r="CB3" i="1"/>
  <c r="CB12" i="1"/>
  <c r="CB20" i="1"/>
  <c r="CC7" i="1"/>
  <c r="CC8" i="1"/>
  <c r="CC9" i="1"/>
  <c r="CC10" i="1"/>
  <c r="CC11" i="1"/>
  <c r="CC12" i="1"/>
  <c r="CC14" i="1"/>
  <c r="CC20" i="1"/>
  <c r="CC6" i="1"/>
  <c r="CC15" i="1"/>
  <c r="CC16" i="1"/>
  <c r="CC17" i="1"/>
  <c r="CC18" i="1"/>
  <c r="CC19" i="1"/>
  <c r="CC4" i="1"/>
  <c r="CC5" i="1"/>
  <c r="L21" i="2"/>
  <c r="M21" i="2"/>
  <c r="L22" i="2"/>
  <c r="M22" i="2"/>
  <c r="L23" i="2"/>
  <c r="M23" i="2"/>
  <c r="L24" i="2"/>
  <c r="M24" i="2"/>
  <c r="AM23" i="1"/>
  <c r="CB19" i="1"/>
  <c r="CB7" i="1"/>
  <c r="C1" i="1"/>
  <c r="B1" i="1"/>
  <c r="AN23" i="1"/>
  <c r="L25" i="2"/>
  <c r="M25" i="2"/>
  <c r="L26" i="2"/>
  <c r="M26" i="2"/>
  <c r="L27" i="2"/>
  <c r="M27" i="2"/>
  <c r="L28" i="2"/>
  <c r="M28" i="2"/>
  <c r="AO23" i="1"/>
  <c r="CB17" i="1"/>
  <c r="AP23" i="1"/>
  <c r="CB15" i="1"/>
  <c r="AQ23" i="1"/>
  <c r="AR23" i="1"/>
  <c r="AS23" i="1"/>
  <c r="AT23" i="1"/>
  <c r="AU23" i="1"/>
  <c r="AV23" i="1"/>
  <c r="AX23" i="1"/>
  <c r="AY23" i="1"/>
  <c r="AW23" i="1"/>
  <c r="AZ23" i="1"/>
  <c r="BB23" i="1"/>
  <c r="BC23" i="1"/>
  <c r="BD23" i="1"/>
  <c r="BE23" i="1"/>
  <c r="CB9" i="1"/>
  <c r="BF23" i="1"/>
  <c r="BG23" i="1"/>
  <c r="CB8" i="1"/>
  <c r="BH23" i="1"/>
  <c r="BI23" i="1"/>
  <c r="BJ23" i="1"/>
  <c r="BK23" i="1"/>
  <c r="CB4" i="1"/>
  <c r="CB10" i="1"/>
  <c r="CB11" i="1"/>
  <c r="BL23" i="1"/>
  <c r="BM23" i="1"/>
  <c r="BN23" i="1"/>
  <c r="BO23" i="1"/>
  <c r="BP23" i="1"/>
  <c r="BR23" i="1"/>
  <c r="BQ23" i="1"/>
  <c r="CC24" i="1" l="1"/>
  <c r="D2" i="1"/>
  <c r="D19" i="1"/>
  <c r="D14" i="1"/>
  <c r="D11" i="1"/>
  <c r="D18" i="1"/>
  <c r="D16" i="1"/>
  <c r="D9" i="1"/>
  <c r="D7" i="1"/>
  <c r="D5" i="1"/>
  <c r="D15" i="1"/>
  <c r="D10" i="1"/>
  <c r="D6" i="1"/>
  <c r="D17" i="1"/>
  <c r="D12" i="1"/>
  <c r="D8" i="1"/>
  <c r="D4" i="1"/>
  <c r="CD3" i="1"/>
  <c r="D20" i="1"/>
  <c r="CD17" i="1"/>
  <c r="CD15" i="1"/>
  <c r="BA23" i="1"/>
  <c r="CD9" i="1"/>
  <c r="CD8" i="1"/>
  <c r="CD11" i="1"/>
  <c r="BS23" i="1"/>
  <c r="BT23" i="1"/>
  <c r="BU23" i="1"/>
  <c r="BV23" i="1"/>
  <c r="BW23" i="1"/>
  <c r="CA23" i="1"/>
  <c r="BZ23" i="1"/>
  <c r="BY23" i="1"/>
  <c r="BX23" i="1"/>
  <c r="CB14" i="1"/>
  <c r="CB16" i="1"/>
  <c r="M3" i="5"/>
  <c r="M3" i="3"/>
  <c r="M3" i="4"/>
  <c r="L3" i="4"/>
  <c r="L3" i="5"/>
  <c r="L3" i="3"/>
  <c r="L3" i="2"/>
  <c r="B3" i="1" s="1"/>
  <c r="M3" i="2"/>
  <c r="C3" i="1" s="1"/>
  <c r="CB18" i="1"/>
  <c r="CG24" i="1" l="1"/>
  <c r="CB24" i="1"/>
  <c r="D3" i="1"/>
  <c r="CD18" i="1"/>
  <c r="CD4" i="1"/>
  <c r="CD10" i="1"/>
  <c r="CD16" i="1"/>
  <c r="CD14" i="1"/>
  <c r="CD6" i="1" l="1"/>
  <c r="CD24" i="1"/>
</calcChain>
</file>

<file path=xl/sharedStrings.xml><?xml version="1.0" encoding="utf-8"?>
<sst xmlns="http://schemas.openxmlformats.org/spreadsheetml/2006/main" count="134" uniqueCount="114">
  <si>
    <t>MTF מחקה אינדקס תעשיה ישראל</t>
  </si>
  <si>
    <t>Code TASE</t>
  </si>
  <si>
    <t>Nom</t>
  </si>
  <si>
    <t>Date</t>
  </si>
  <si>
    <t>כמות מניות</t>
  </si>
  <si>
    <t>מחיר קנייה</t>
  </si>
  <si>
    <t>מחיר היום</t>
  </si>
  <si>
    <t>סך ההשקעה</t>
  </si>
  <si>
    <t>ערך כולל יומי</t>
  </si>
  <si>
    <t>רווח/הפסד</t>
  </si>
  <si>
    <t>שם הנכס</t>
  </si>
  <si>
    <t>קוד TASE</t>
  </si>
  <si>
    <t>מחיר קנייה (אג')</t>
  </si>
  <si>
    <t>כמות יחידות</t>
  </si>
  <si>
    <t>מחיר הגנה מינימלי (אג')</t>
  </si>
  <si>
    <t>מחיר יעד מקסימלי (אג')</t>
  </si>
  <si>
    <t>הערות אסטרטגיות (חשוב!)</t>
  </si>
  <si>
    <t>שם המניה</t>
  </si>
  <si>
    <t>מחיר קנייה (אגורות)</t>
  </si>
  <si>
    <t>כמות</t>
  </si>
  <si>
    <t>TP (אגורות)</t>
  </si>
  <si>
    <t>SL (אגורות)</t>
  </si>
  <si>
    <t>מחיר קנייה ליחידה (אג')</t>
  </si>
  <si>
    <t>מחיר מינימלי (Stop Loss 10%) (אג')</t>
  </si>
  <si>
    <t>מחיר מקסימלי (רווח 15%) (אג')</t>
  </si>
  <si>
    <t>מחיר מכירה מינימלי (Stop-Loss)</t>
  </si>
  <si>
    <t>מחיר מכירה מקסימלי (Take-Profit)</t>
  </si>
  <si>
    <t>שער מכירה</t>
  </si>
  <si>
    <t>מימוש</t>
  </si>
  <si>
    <t>מחיר 02/11/2025</t>
  </si>
  <si>
    <t>מחיר 03/11/2025</t>
  </si>
  <si>
    <t>מחיר 04/11/2025</t>
  </si>
  <si>
    <t>ארית תעשיות</t>
  </si>
  <si>
    <t>מחיר 05/11/2025</t>
  </si>
  <si>
    <t>מחיר 10/11/2025</t>
  </si>
  <si>
    <t>מחיר 11/11/2025</t>
  </si>
  <si>
    <t>מחיר 12/11/2025</t>
  </si>
  <si>
    <t>מחיר 13/11/2025</t>
  </si>
  <si>
    <t>מחיר 16/11/2025</t>
  </si>
  <si>
    <t>מחיר 17/11/2025</t>
  </si>
  <si>
    <t>מחיר 18/11/2025</t>
  </si>
  <si>
    <t>מחיר 19/11/2025</t>
  </si>
  <si>
    <t>מחיר 20/11/2025</t>
  </si>
  <si>
    <t>מחיר 23/11/2025</t>
  </si>
  <si>
    <t>מחיר 24/11/2025</t>
  </si>
  <si>
    <t>מחיר 25/11/2025</t>
  </si>
  <si>
    <t>מחיר 26/11/2025</t>
  </si>
  <si>
    <t>מחיר 27/11/2025</t>
  </si>
  <si>
    <t>מחיר 30/11/2025</t>
  </si>
  <si>
    <t>מחיר 01/12/2025</t>
  </si>
  <si>
    <t>טאואר</t>
  </si>
  <si>
    <t>מחיר 02/12/2025</t>
  </si>
  <si>
    <t>מחיר 03/12/2025</t>
  </si>
  <si>
    <t>מחיר 04/12/2025</t>
  </si>
  <si>
    <t>מחיר 07/12/2025</t>
  </si>
  <si>
    <t>מחיר 08/12/2025</t>
  </si>
  <si>
    <t>מחיר 09/12/2025</t>
  </si>
  <si>
    <t>מחיר 10/12/2025</t>
  </si>
  <si>
    <t>מחיר 11/12/2025</t>
  </si>
  <si>
    <t>מחיר 14/12/2025</t>
  </si>
  <si>
    <t>מחיר 15/12/2025</t>
  </si>
  <si>
    <t>מחיר 16/12/2025</t>
  </si>
  <si>
    <t>מחיר 17/12/2025</t>
  </si>
  <si>
    <t>הראל סל ת"א 125</t>
  </si>
  <si>
    <t>ג'ין טכנולוגיות</t>
  </si>
  <si>
    <t>מחיר 18/12/2025</t>
  </si>
  <si>
    <t>פועלים</t>
  </si>
  <si>
    <t>מחיר 23/12/2025</t>
  </si>
  <si>
    <t>משק אנרגיה</t>
  </si>
  <si>
    <t>מחיר 24/12/2025</t>
  </si>
  <si>
    <t>מחיר 25/12/2025</t>
  </si>
  <si>
    <t>MTF סל אינדקס אנרגיה מתחדשת</t>
  </si>
  <si>
    <t>מחיר 28/12/2025</t>
  </si>
  <si>
    <t>ISHARES MSCI GLOBAL SILVER M</t>
  </si>
  <si>
    <t>מחיר 29/12/2025</t>
  </si>
  <si>
    <t>MTF מחקה אינדקס Global Metals &amp; Minerals producers מנוטרלת דולר</t>
  </si>
  <si>
    <t>מחיר 30/12/2025</t>
  </si>
  <si>
    <t>מחיר 31/12/2025</t>
  </si>
  <si>
    <t>מחיר 01/01/2026</t>
  </si>
  <si>
    <t>סך מימושים</t>
  </si>
  <si>
    <t>דוראל אנרגיה</t>
  </si>
  <si>
    <t>מחיר 05/01/2026</t>
  </si>
  <si>
    <t>מחיר 06/01/2026</t>
  </si>
  <si>
    <t>מחיר 07/01/2026</t>
  </si>
  <si>
    <t>מחיר 08/01/2026</t>
  </si>
  <si>
    <t>מחיר 12/01/2026</t>
  </si>
  <si>
    <t>מחיר 13/01/2026</t>
  </si>
  <si>
    <t>מחיר 14/01/2026</t>
  </si>
  <si>
    <t>מחיר 19/01/2026</t>
  </si>
  <si>
    <t>מחיר 20/01/2026</t>
  </si>
  <si>
    <t>מחיר 21/01/2026</t>
  </si>
  <si>
    <t>מחיר 22/01/2026</t>
  </si>
  <si>
    <t>מחיר 23/01/2026</t>
  </si>
  <si>
    <t>מחיר 26/01/2026</t>
  </si>
  <si>
    <t>מחיר 27/01/2026</t>
  </si>
  <si>
    <t>מחיר 28/01/2026</t>
  </si>
  <si>
    <t>סטורג' דרופ</t>
  </si>
  <si>
    <t>מחיר 30/01/2026</t>
  </si>
  <si>
    <t>מחיר 29/01/2026</t>
  </si>
  <si>
    <t>מחיר 02/02/2026</t>
  </si>
  <si>
    <t>אירודרום קבוצה</t>
  </si>
  <si>
    <t>(J2*G2+G3*J3+J4*G4+G5*J5+G6*J6+G7*J7+G8*J8+G9*J9+G10*J10+G11*J11+G12*J12+J13*G13+G14*J14+J15*G15+G16*J16+G17*J17+J18*G18+G19*J19+G20*J20)/100</t>
  </si>
  <si>
    <t>מחיר 03/02/2026</t>
  </si>
  <si>
    <t>מחיר 04/02/2026</t>
  </si>
  <si>
    <t>מחיר 05/02/2026</t>
  </si>
  <si>
    <t>מחיר 06/02/2026</t>
  </si>
  <si>
    <t>אייראנג'י טק</t>
  </si>
  <si>
    <t>מחיר 09/02/2026</t>
  </si>
  <si>
    <t>מחיר 10/02/2026</t>
  </si>
  <si>
    <t>מחיר 11/02/2026</t>
  </si>
  <si>
    <t>מחיר 12/02/2026</t>
  </si>
  <si>
    <t>מחיר 13/02/2026</t>
  </si>
  <si>
    <t>מחיר 16/02/2026</t>
  </si>
  <si>
    <t>מחיר 17/02/2026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</si>
</sst>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₪&quot;\ #,##0.00"/>
  </numFmts>
  <fonts count="12" x14ac:knownFonts="1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0"/>
      <color theme="1"/>
      <name val="Arial"/>
      <family val="2"/>
    </font>
    <font>
      <sz val="13"/>
      <color theme="1"/>
      <name val="Heebo"/>
    </font>
    <font>
      <sz val="12"/>
      <color rgb="FF3B3B3B"/>
      <name val="Almoni-dl"/>
    </font>
    <font>
      <sz val="10"/>
      <color rgb="FFFFFFFF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77"/>
      <scheme val="minor"/>
    </font>
    <font>
      <sz val="11"/>
      <color rgb="FF0F1115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9F4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ck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0" fontId="4" fillId="3" borderId="1" xfId="0" applyFont="1" applyFill="1" applyBorder="1" applyAlignment="1">
      <alignment horizontal="right" wrapText="1"/>
    </xf>
    <xf numFmtId="0" fontId="6" fillId="0" borderId="1" xfId="0" applyFont="1" applyBorder="1" applyAlignment="1">
      <alignment horizontal="center" wrapText="1"/>
    </xf>
    <xf numFmtId="0" fontId="8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right" wrapText="1"/>
    </xf>
    <xf numFmtId="2" fontId="2" fillId="0" borderId="1" xfId="0" applyNumberFormat="1" applyFont="1" applyBorder="1" applyAlignment="1">
      <alignment wrapText="1"/>
    </xf>
    <xf numFmtId="164" fontId="0" fillId="0" borderId="0" xfId="0" applyNumberFormat="1"/>
    <xf numFmtId="4" fontId="8" fillId="0" borderId="2" xfId="0" applyNumberFormat="1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4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8" fillId="5" borderId="3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wrapText="1"/>
    </xf>
    <xf numFmtId="164" fontId="5" fillId="4" borderId="1" xfId="0" applyNumberFormat="1" applyFont="1" applyFill="1" applyBorder="1" applyAlignment="1">
      <alignment horizontal="right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14" fontId="0" fillId="0" borderId="0" xfId="0" applyNumberFormat="1"/>
    <xf numFmtId="0" fontId="2" fillId="0" borderId="5" xfId="0" applyFont="1" applyBorder="1" applyAlignment="1">
      <alignment horizontal="right" wrapText="1"/>
    </xf>
    <xf numFmtId="164" fontId="2" fillId="0" borderId="5" xfId="0" applyNumberFormat="1" applyFont="1" applyBorder="1" applyAlignment="1">
      <alignment horizontal="right" wrapText="1"/>
    </xf>
    <xf numFmtId="0" fontId="11" fillId="0" borderId="0" xfId="0" applyFont="1"/>
    <xf numFmtId="0" fontId="6" fillId="0" borderId="6" xfId="0" applyFont="1" applyBorder="1" applyAlignment="1">
      <alignment horizontal="center" wrapText="1"/>
    </xf>
  </cellXfs>
  <cellStyles count="1">
    <cellStyle name="Normal" xfId="0" builtinId="0"/>
  </cellStyles>
  <dxfs count="12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4639-EF9D-4B16-B2C9-0D5E9C5EEC8B}">
  <dimension ref="A1:CG25"/>
  <sheetViews>
    <sheetView tabSelected="1" zoomScale="85" zoomScaleNormal="85" workbookViewId="0">
      <selection activeCell="I14" sqref="I14"/>
    </sheetView>
  </sheetViews>
  <sheetFormatPr defaultRowHeight="15" x14ac:dyDescent="0.25"/>
  <cols>
    <col min="1" max="5" width="17.5703125" customWidth="1"/>
    <col min="6" max="6" width="13.28515625" customWidth="1"/>
    <col min="7" max="7" width="11.5703125" style="20" bestFit="1" customWidth="1"/>
    <col min="8" max="69" width="14.85546875" customWidth="1"/>
    <col min="70" max="79" width="12.7109375" bestFit="1" customWidth="1"/>
    <col min="80" max="80" width="13" bestFit="1" customWidth="1"/>
    <col min="81" max="81" width="13.140625" bestFit="1" customWidth="1"/>
    <col min="82" max="82" width="11" bestFit="1" customWidth="1"/>
    <col min="85" max="85" width="11.5703125" customWidth="1"/>
  </cols>
  <sheetData>
    <row r="1" spans="1:85" ht="45" customHeight="1" thickBot="1" x14ac:dyDescent="0.3">
      <c r="A1" s="6" t="s">
        <v>1</v>
      </c>
      <c r="B1" s="17" t="str">
        <f>GEMINI!L1</f>
        <v>מחיר מכירה מינימלי (Stop-Loss)</v>
      </c>
      <c r="C1" s="17" t="str">
        <f>GEMINI!M1</f>
        <v>מחיר מכירה מקסימלי (Take-Profit)</v>
      </c>
      <c r="D1" s="6"/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113</v>
      </c>
      <c r="K1" s="6" t="s">
        <v>112</v>
      </c>
      <c r="L1" s="6" t="s">
        <v>111</v>
      </c>
      <c r="M1" s="6" t="s">
        <v>110</v>
      </c>
      <c r="N1" s="6" t="s">
        <v>109</v>
      </c>
      <c r="O1" s="6" t="s">
        <v>108</v>
      </c>
      <c r="P1" s="6" t="s">
        <v>107</v>
      </c>
      <c r="Q1" s="6" t="s">
        <v>105</v>
      </c>
      <c r="R1" s="6" t="s">
        <v>104</v>
      </c>
      <c r="S1" s="6" t="s">
        <v>103</v>
      </c>
      <c r="T1" s="6" t="s">
        <v>102</v>
      </c>
      <c r="U1" s="6" t="s">
        <v>99</v>
      </c>
      <c r="V1" s="6" t="s">
        <v>97</v>
      </c>
      <c r="W1" s="6" t="s">
        <v>98</v>
      </c>
      <c r="X1" s="6" t="s">
        <v>95</v>
      </c>
      <c r="Y1" s="6" t="s">
        <v>94</v>
      </c>
      <c r="Z1" s="6" t="s">
        <v>93</v>
      </c>
      <c r="AA1" s="6" t="s">
        <v>92</v>
      </c>
      <c r="AB1" s="6" t="s">
        <v>91</v>
      </c>
      <c r="AC1" s="6" t="s">
        <v>90</v>
      </c>
      <c r="AD1" s="6" t="s">
        <v>89</v>
      </c>
      <c r="AE1" s="6" t="s">
        <v>88</v>
      </c>
      <c r="AF1" s="6" t="s">
        <v>87</v>
      </c>
      <c r="AG1" s="6" t="s">
        <v>86</v>
      </c>
      <c r="AH1" s="6" t="s">
        <v>85</v>
      </c>
      <c r="AI1" s="6" t="s">
        <v>84</v>
      </c>
      <c r="AJ1" s="6" t="s">
        <v>83</v>
      </c>
      <c r="AK1" s="6" t="s">
        <v>82</v>
      </c>
      <c r="AL1" s="6" t="s">
        <v>81</v>
      </c>
      <c r="AM1" s="6" t="s">
        <v>78</v>
      </c>
      <c r="AN1" s="6" t="s">
        <v>77</v>
      </c>
      <c r="AO1" s="6" t="s">
        <v>76</v>
      </c>
      <c r="AP1" s="6" t="s">
        <v>74</v>
      </c>
      <c r="AQ1" s="6" t="s">
        <v>72</v>
      </c>
      <c r="AR1" s="6" t="s">
        <v>70</v>
      </c>
      <c r="AS1" s="6" t="s">
        <v>69</v>
      </c>
      <c r="AT1" s="6" t="s">
        <v>67</v>
      </c>
      <c r="AU1" s="6" t="s">
        <v>65</v>
      </c>
      <c r="AV1" s="6" t="s">
        <v>62</v>
      </c>
      <c r="AW1" s="6" t="s">
        <v>61</v>
      </c>
      <c r="AX1" s="6" t="s">
        <v>60</v>
      </c>
      <c r="AY1" s="6" t="s">
        <v>59</v>
      </c>
      <c r="AZ1" s="6" t="s">
        <v>58</v>
      </c>
      <c r="BA1" s="6" t="s">
        <v>57</v>
      </c>
      <c r="BB1" s="6" t="s">
        <v>56</v>
      </c>
      <c r="BC1" s="6" t="s">
        <v>55</v>
      </c>
      <c r="BD1" s="6" t="s">
        <v>54</v>
      </c>
      <c r="BE1" s="6" t="s">
        <v>53</v>
      </c>
      <c r="BF1" s="6" t="s">
        <v>52</v>
      </c>
      <c r="BG1" s="6" t="s">
        <v>51</v>
      </c>
      <c r="BH1" s="6" t="s">
        <v>49</v>
      </c>
      <c r="BI1" s="6" t="s">
        <v>48</v>
      </c>
      <c r="BJ1" s="6" t="s">
        <v>47</v>
      </c>
      <c r="BK1" s="6" t="s">
        <v>46</v>
      </c>
      <c r="BL1" s="6" t="s">
        <v>45</v>
      </c>
      <c r="BM1" s="6" t="s">
        <v>44</v>
      </c>
      <c r="BN1" s="6" t="s">
        <v>43</v>
      </c>
      <c r="BO1" s="6" t="s">
        <v>42</v>
      </c>
      <c r="BP1" s="6" t="s">
        <v>41</v>
      </c>
      <c r="BQ1" s="6" t="s">
        <v>40</v>
      </c>
      <c r="BR1" s="6" t="s">
        <v>39</v>
      </c>
      <c r="BS1" s="6" t="s">
        <v>38</v>
      </c>
      <c r="BT1" s="6" t="s">
        <v>37</v>
      </c>
      <c r="BU1" s="6" t="s">
        <v>36</v>
      </c>
      <c r="BV1" s="6" t="s">
        <v>35</v>
      </c>
      <c r="BW1" s="6" t="s">
        <v>34</v>
      </c>
      <c r="BX1" s="6" t="s">
        <v>33</v>
      </c>
      <c r="BY1" s="6" t="s">
        <v>31</v>
      </c>
      <c r="BZ1" s="6" t="s">
        <v>30</v>
      </c>
      <c r="CA1" s="6" t="s">
        <v>29</v>
      </c>
      <c r="CB1" s="6" t="s">
        <v>7</v>
      </c>
      <c r="CC1" s="6" t="s">
        <v>8</v>
      </c>
      <c r="CD1" s="6" t="s">
        <v>9</v>
      </c>
      <c r="CE1" s="12" t="s">
        <v>28</v>
      </c>
      <c r="CF1" s="12" t="s">
        <v>27</v>
      </c>
      <c r="CG1" s="12" t="s">
        <v>79</v>
      </c>
    </row>
    <row r="2" spans="1:85" ht="45" customHeight="1" thickBot="1" x14ac:dyDescent="0.3">
      <c r="A2" s="1">
        <v>1105907</v>
      </c>
      <c r="B2" s="17">
        <f>GEMINI!L2</f>
        <v>742.75</v>
      </c>
      <c r="C2" s="17">
        <f>GEMINI!M2</f>
        <v>916</v>
      </c>
      <c r="D2" s="6" t="str">
        <f>IF(I2&lt;GEMINI!L2,"למכור בהפסד",IF(I2&gt;GEMINI!M2,"למכור ברווח","לשמור"))</f>
        <v>למכור ברווח</v>
      </c>
      <c r="E2" s="5" t="s">
        <v>106</v>
      </c>
      <c r="F2" s="4">
        <v>46063</v>
      </c>
      <c r="G2" s="27">
        <v>0</v>
      </c>
      <c r="H2" s="13">
        <v>774.5</v>
      </c>
      <c r="I2" s="13">
        <v>935</v>
      </c>
      <c r="J2" s="13">
        <v>1056</v>
      </c>
      <c r="K2" s="13">
        <v>1041</v>
      </c>
      <c r="L2" s="13">
        <v>963.4</v>
      </c>
      <c r="M2" s="13">
        <v>897</v>
      </c>
      <c r="N2" s="13">
        <v>854.6</v>
      </c>
      <c r="O2" s="13">
        <v>846.8</v>
      </c>
      <c r="P2" s="13">
        <v>799.8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32"/>
      <c r="BU2" s="6"/>
      <c r="BV2" s="6"/>
      <c r="BW2" s="32"/>
      <c r="BX2" s="6"/>
      <c r="BY2" s="6"/>
      <c r="BZ2" s="6"/>
      <c r="CA2" s="6"/>
      <c r="CB2" s="13">
        <f>(G2*H2)/100-CG2</f>
        <v>0</v>
      </c>
      <c r="CC2" s="13">
        <f t="shared" ref="CC2:CC20" si="0">(G2*H2)/100</f>
        <v>0</v>
      </c>
      <c r="CD2" s="6"/>
      <c r="CG2" s="15"/>
    </row>
    <row r="3" spans="1:85" ht="45" customHeight="1" thickBot="1" x14ac:dyDescent="0.3">
      <c r="A3" s="1">
        <v>363010</v>
      </c>
      <c r="B3" s="17">
        <f>GEMINI!L3</f>
        <v>53</v>
      </c>
      <c r="C3" s="17">
        <f>GEMINI!M3</f>
        <v>96.75</v>
      </c>
      <c r="D3" s="6" t="str">
        <f>IF(I3&lt;GEMINI!L3,"למכור בהפסד",IF(I3&gt;GEMINI!M3,"למכור ברווח","לשמור"))</f>
        <v>לשמור</v>
      </c>
      <c r="E3" s="5" t="s">
        <v>100</v>
      </c>
      <c r="F3" s="28">
        <v>46056</v>
      </c>
      <c r="G3" s="27">
        <v>600</v>
      </c>
      <c r="H3" s="13">
        <v>74.900000000000006</v>
      </c>
      <c r="I3" s="13">
        <v>73.7</v>
      </c>
      <c r="J3" s="13">
        <v>75.2</v>
      </c>
      <c r="K3" s="13">
        <v>74.599999999999994</v>
      </c>
      <c r="L3" s="13">
        <v>74</v>
      </c>
      <c r="M3" s="13">
        <v>70.099999999999994</v>
      </c>
      <c r="N3" s="13">
        <v>74.3</v>
      </c>
      <c r="O3" s="13">
        <v>77.3</v>
      </c>
      <c r="P3" s="13">
        <v>82.3</v>
      </c>
      <c r="Q3" s="13">
        <v>75.2</v>
      </c>
      <c r="R3" s="13">
        <v>68.8</v>
      </c>
      <c r="S3" s="13">
        <v>89</v>
      </c>
      <c r="T3" s="13">
        <v>87.5</v>
      </c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4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29"/>
      <c r="BU3" s="13"/>
      <c r="BV3" s="13"/>
      <c r="BW3" s="29"/>
      <c r="BX3" s="13"/>
      <c r="BY3" s="13"/>
      <c r="BZ3" s="13"/>
      <c r="CA3" s="13"/>
      <c r="CB3" s="13">
        <f>(G3*H3)/100-CG3</f>
        <v>449.4</v>
      </c>
      <c r="CC3" s="13">
        <f t="shared" si="0"/>
        <v>449.4</v>
      </c>
      <c r="CD3" s="13">
        <f>(CC3-CB3)</f>
        <v>0</v>
      </c>
      <c r="CG3" s="15"/>
    </row>
    <row r="4" spans="1:85" ht="45" customHeight="1" thickBot="1" x14ac:dyDescent="0.3">
      <c r="A4" s="1">
        <v>587014</v>
      </c>
      <c r="B4" s="17">
        <f>GEMINI!L4</f>
        <v>5855</v>
      </c>
      <c r="C4" s="17">
        <f>GEMINI!M4</f>
        <v>7050</v>
      </c>
      <c r="D4" s="6" t="str">
        <f>IF(I4&lt;GEMINI!L4,"למכור בהפסד",IF(I4&gt;GEMINI!M4,"למכור ברווח","לשמור"))</f>
        <v>לשמור</v>
      </c>
      <c r="E4" s="5" t="s">
        <v>32</v>
      </c>
      <c r="F4" s="4">
        <v>46029</v>
      </c>
      <c r="G4" s="27">
        <v>20</v>
      </c>
      <c r="H4" s="13">
        <v>5925</v>
      </c>
      <c r="I4" s="13">
        <v>6055</v>
      </c>
      <c r="J4" s="13">
        <v>6075</v>
      </c>
      <c r="K4" s="13">
        <v>5925</v>
      </c>
      <c r="L4" s="13">
        <v>5655</v>
      </c>
      <c r="M4" s="13">
        <v>5714</v>
      </c>
      <c r="N4" s="13">
        <v>5891</v>
      </c>
      <c r="O4" s="13">
        <v>6011</v>
      </c>
      <c r="P4" s="13">
        <v>5990</v>
      </c>
      <c r="Q4" s="13">
        <v>5990</v>
      </c>
      <c r="R4" s="13">
        <v>5956</v>
      </c>
      <c r="S4" s="13">
        <v>6298</v>
      </c>
      <c r="T4" s="13">
        <v>6295</v>
      </c>
      <c r="U4" s="13">
        <v>6370</v>
      </c>
      <c r="V4" s="13">
        <v>6140</v>
      </c>
      <c r="W4" s="13">
        <v>7252</v>
      </c>
      <c r="X4" s="13">
        <v>7120</v>
      </c>
      <c r="Y4" s="13">
        <v>7048</v>
      </c>
      <c r="Z4" s="13">
        <v>6979</v>
      </c>
      <c r="AA4" s="13">
        <v>6680</v>
      </c>
      <c r="AB4" s="13">
        <v>6111</v>
      </c>
      <c r="AC4" s="13">
        <v>6050</v>
      </c>
      <c r="AD4" s="13">
        <v>6169</v>
      </c>
      <c r="AE4" s="13">
        <v>6300</v>
      </c>
      <c r="AF4" s="13">
        <v>6335</v>
      </c>
      <c r="AG4" s="13">
        <v>6335</v>
      </c>
      <c r="AH4" s="13">
        <v>6444</v>
      </c>
      <c r="AI4" s="13">
        <v>5749</v>
      </c>
      <c r="AJ4" s="13">
        <v>5749</v>
      </c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29"/>
      <c r="BU4" s="13"/>
      <c r="BV4" s="13"/>
      <c r="BW4" s="29"/>
      <c r="BX4" s="13"/>
      <c r="BY4" s="13"/>
      <c r="BZ4" s="13"/>
      <c r="CA4" s="13"/>
      <c r="CB4" s="13">
        <f>(G4*H4)/100-CG4</f>
        <v>1185</v>
      </c>
      <c r="CC4" s="13">
        <f t="shared" si="0"/>
        <v>1185</v>
      </c>
      <c r="CD4" s="13">
        <f>(CC4-CB4)</f>
        <v>0</v>
      </c>
      <c r="CG4" s="15"/>
    </row>
    <row r="5" spans="1:85" ht="45" customHeight="1" thickBot="1" x14ac:dyDescent="0.3">
      <c r="A5" s="1">
        <v>1099787</v>
      </c>
      <c r="B5" s="17">
        <f>GEMINI!L5</f>
        <v>598.25</v>
      </c>
      <c r="C5" s="17">
        <f>GEMINI!M5</f>
        <v>741.25</v>
      </c>
      <c r="D5" s="6" t="str">
        <f>IF(I5&lt;GEMINI!L5,"למכור בהפסד",IF(I5&gt;GEMINI!M5,"למכור ברווח","לשמור"))</f>
        <v>למכור בהפסד</v>
      </c>
      <c r="E5" s="5" t="s">
        <v>64</v>
      </c>
      <c r="F5" s="4">
        <v>46045</v>
      </c>
      <c r="G5" s="27">
        <v>0</v>
      </c>
      <c r="H5" s="13">
        <v>620</v>
      </c>
      <c r="I5" s="13">
        <v>510.2</v>
      </c>
      <c r="J5" s="13">
        <v>541.29999999999995</v>
      </c>
      <c r="K5" s="13">
        <v>572.4</v>
      </c>
      <c r="L5" s="13">
        <v>590.1</v>
      </c>
      <c r="M5" s="13">
        <v>579.5</v>
      </c>
      <c r="N5" s="13">
        <v>614.5</v>
      </c>
      <c r="O5" s="13">
        <v>642.20000000000005</v>
      </c>
      <c r="P5" s="13">
        <v>656.2</v>
      </c>
      <c r="Q5" s="13">
        <v>622.4</v>
      </c>
      <c r="R5" s="13">
        <v>594.9</v>
      </c>
      <c r="S5" s="13">
        <v>638</v>
      </c>
      <c r="T5" s="13">
        <v>587.5</v>
      </c>
      <c r="U5" s="13">
        <v>577.9</v>
      </c>
      <c r="V5" s="13">
        <v>559</v>
      </c>
      <c r="W5" s="13">
        <v>570</v>
      </c>
      <c r="X5" s="13">
        <v>575.70000000000005</v>
      </c>
      <c r="Y5" s="13">
        <v>612.6</v>
      </c>
      <c r="Z5" s="13">
        <v>638.29999999999995</v>
      </c>
      <c r="AA5" s="13">
        <v>630.29999999999995</v>
      </c>
      <c r="AB5" s="13">
        <v>626</v>
      </c>
      <c r="AC5" s="13">
        <v>595.4</v>
      </c>
      <c r="AD5" s="13">
        <v>667.1</v>
      </c>
      <c r="AE5" s="13">
        <v>651</v>
      </c>
      <c r="AF5" s="13">
        <v>641.1</v>
      </c>
      <c r="AG5" s="13">
        <v>641.1</v>
      </c>
      <c r="AH5" s="13">
        <v>607.1</v>
      </c>
      <c r="AI5" s="13">
        <v>583</v>
      </c>
      <c r="AJ5" s="13">
        <v>581.6</v>
      </c>
      <c r="AK5" s="13">
        <v>578.70000000000005</v>
      </c>
      <c r="AL5" s="13">
        <v>590</v>
      </c>
      <c r="AM5" s="13">
        <v>554.70000000000005</v>
      </c>
      <c r="AN5" s="13">
        <v>511.8</v>
      </c>
      <c r="AO5" s="13">
        <v>487</v>
      </c>
      <c r="AP5" s="13">
        <v>478.8</v>
      </c>
      <c r="AQ5" s="13">
        <v>485.5</v>
      </c>
      <c r="AR5" s="13">
        <v>453.4</v>
      </c>
      <c r="AS5" s="13">
        <v>426.1</v>
      </c>
      <c r="AT5" s="13">
        <v>423.2</v>
      </c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29"/>
      <c r="BU5" s="13"/>
      <c r="BV5" s="13"/>
      <c r="BW5" s="29"/>
      <c r="BX5" s="13"/>
      <c r="BY5" s="13"/>
      <c r="BZ5" s="13"/>
      <c r="CA5" s="13"/>
      <c r="CB5" s="13">
        <f>(G5*H5)/100-CG5</f>
        <v>0</v>
      </c>
      <c r="CC5" s="13">
        <f t="shared" si="0"/>
        <v>0</v>
      </c>
      <c r="CD5" s="13"/>
      <c r="CG5" s="15"/>
    </row>
    <row r="6" spans="1:85" ht="45" customHeight="1" thickBot="1" x14ac:dyDescent="0.3">
      <c r="A6" s="2">
        <v>1166768</v>
      </c>
      <c r="B6" s="17">
        <f>GEMINI!L6</f>
        <v>4425</v>
      </c>
      <c r="C6" s="17">
        <f>GEMINI!M6</f>
        <v>5480</v>
      </c>
      <c r="D6" s="6" t="str">
        <f>IF(I6&lt;GEMINI!L6,"למכור בהפסד",IF(I6&gt;GEMINI!M6,"למכור ברווח","לשמור"))</f>
        <v>למכור ברווח</v>
      </c>
      <c r="E6" s="5" t="s">
        <v>80</v>
      </c>
      <c r="F6" s="4">
        <v>46028</v>
      </c>
      <c r="G6" s="27">
        <v>30</v>
      </c>
      <c r="H6" s="13">
        <v>4264.16</v>
      </c>
      <c r="I6" s="13">
        <v>6221</v>
      </c>
      <c r="J6" s="13">
        <v>6014</v>
      </c>
      <c r="K6" s="13">
        <v>5675</v>
      </c>
      <c r="L6" s="13">
        <v>5450</v>
      </c>
      <c r="M6" s="13">
        <v>5385</v>
      </c>
      <c r="N6" s="13">
        <v>5170</v>
      </c>
      <c r="O6" s="13">
        <v>5059</v>
      </c>
      <c r="P6" s="13">
        <v>4880</v>
      </c>
      <c r="Q6" s="13">
        <v>4647</v>
      </c>
      <c r="R6" s="13">
        <v>4650</v>
      </c>
      <c r="S6" s="13">
        <v>4799</v>
      </c>
      <c r="T6" s="13">
        <v>4740</v>
      </c>
      <c r="U6" s="13">
        <v>4350</v>
      </c>
      <c r="V6" s="13">
        <v>4355</v>
      </c>
      <c r="W6" s="13">
        <v>4500</v>
      </c>
      <c r="X6" s="13">
        <v>4424</v>
      </c>
      <c r="Y6" s="13">
        <v>4412</v>
      </c>
      <c r="Z6" s="13">
        <v>4450</v>
      </c>
      <c r="AA6" s="13">
        <v>4238</v>
      </c>
      <c r="AB6" s="13">
        <v>3970</v>
      </c>
      <c r="AC6" s="13">
        <v>3870</v>
      </c>
      <c r="AD6" s="13">
        <v>3805</v>
      </c>
      <c r="AE6" s="13">
        <v>3667</v>
      </c>
      <c r="AF6" s="13">
        <v>3582</v>
      </c>
      <c r="AG6" s="13">
        <v>3582</v>
      </c>
      <c r="AH6" s="13">
        <v>3570</v>
      </c>
      <c r="AI6" s="13">
        <v>3619</v>
      </c>
      <c r="AJ6" s="13">
        <v>3650</v>
      </c>
      <c r="AK6" s="13">
        <v>3720</v>
      </c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29"/>
      <c r="BU6" s="13"/>
      <c r="BV6" s="13"/>
      <c r="BW6" s="29"/>
      <c r="BX6" s="13"/>
      <c r="BY6" s="13"/>
      <c r="BZ6" s="13"/>
      <c r="CB6" s="13">
        <f>(G6*H6)/100-CG6</f>
        <v>1279.2479999999998</v>
      </c>
      <c r="CC6" s="13">
        <f t="shared" si="0"/>
        <v>1279.2479999999998</v>
      </c>
      <c r="CD6" s="13">
        <f t="shared" ref="CD6" si="1">(CC6-CB6)</f>
        <v>0</v>
      </c>
      <c r="CG6" s="15"/>
    </row>
    <row r="7" spans="1:85" ht="45" customHeight="1" thickBot="1" x14ac:dyDescent="0.3">
      <c r="A7" s="1">
        <v>1148899</v>
      </c>
      <c r="B7" s="17">
        <f>GEMINI!L7</f>
        <v>3737.5</v>
      </c>
      <c r="C7" s="17">
        <f>GEMINI!M7</f>
        <v>4350</v>
      </c>
      <c r="D7" s="6" t="str">
        <f>IF(I7&lt;GEMINI!L7,"למכור בהפסד",IF(I7&gt;GEMINI!M7,"למכור ברווח","לשמור"))</f>
        <v>לשמור</v>
      </c>
      <c r="E7" s="5" t="s">
        <v>63</v>
      </c>
      <c r="F7" s="4">
        <v>46010</v>
      </c>
      <c r="G7" s="27">
        <v>70</v>
      </c>
      <c r="H7" s="13">
        <v>3585</v>
      </c>
      <c r="I7" s="13">
        <v>4109</v>
      </c>
      <c r="J7" s="13">
        <v>4070</v>
      </c>
      <c r="K7" s="13">
        <v>4081</v>
      </c>
      <c r="L7" s="13">
        <v>4074</v>
      </c>
      <c r="M7" s="13">
        <v>4093</v>
      </c>
      <c r="N7" s="13">
        <v>4069</v>
      </c>
      <c r="O7" s="13">
        <v>4085</v>
      </c>
      <c r="P7" s="13">
        <v>3996</v>
      </c>
      <c r="Q7" s="13">
        <v>3954</v>
      </c>
      <c r="R7" s="13">
        <v>3955</v>
      </c>
      <c r="S7" s="13">
        <v>4022</v>
      </c>
      <c r="T7" s="13">
        <v>4033</v>
      </c>
      <c r="U7" s="13">
        <v>3988</v>
      </c>
      <c r="V7" s="13">
        <v>3916</v>
      </c>
      <c r="W7" s="13">
        <v>3954</v>
      </c>
      <c r="X7" s="13">
        <v>3932</v>
      </c>
      <c r="Y7" s="13">
        <v>3949</v>
      </c>
      <c r="Z7" s="13">
        <v>3943</v>
      </c>
      <c r="AA7" s="13">
        <v>3928</v>
      </c>
      <c r="AB7" s="13">
        <v>3913</v>
      </c>
      <c r="AC7" s="13">
        <v>3860</v>
      </c>
      <c r="AD7" s="13">
        <v>3893</v>
      </c>
      <c r="AE7" s="13">
        <v>3900</v>
      </c>
      <c r="AF7" s="13">
        <v>3842</v>
      </c>
      <c r="AG7" s="13">
        <v>3842</v>
      </c>
      <c r="AH7" s="13">
        <v>3841</v>
      </c>
      <c r="AI7" s="13">
        <v>3809</v>
      </c>
      <c r="AJ7" s="13">
        <v>3810</v>
      </c>
      <c r="AK7" s="13">
        <v>3798</v>
      </c>
      <c r="AL7" s="13">
        <v>3713</v>
      </c>
      <c r="AM7" s="13">
        <v>3657</v>
      </c>
      <c r="AN7" s="13">
        <v>3592</v>
      </c>
      <c r="AO7" s="13">
        <v>3621</v>
      </c>
      <c r="AP7" s="13">
        <v>3572</v>
      </c>
      <c r="AQ7" s="13">
        <v>3580</v>
      </c>
      <c r="AR7" s="13">
        <v>3569</v>
      </c>
      <c r="AS7" s="13">
        <v>3659</v>
      </c>
      <c r="AT7" s="13">
        <v>3656</v>
      </c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29"/>
      <c r="BU7" s="13"/>
      <c r="BV7" s="13"/>
      <c r="BW7" s="29"/>
      <c r="BX7" s="13"/>
      <c r="BY7" s="13"/>
      <c r="BZ7" s="13"/>
      <c r="CA7" s="13"/>
      <c r="CB7" s="13">
        <f>(G7*H7)/100-CG7</f>
        <v>2509.5</v>
      </c>
      <c r="CC7" s="13">
        <f t="shared" si="0"/>
        <v>2509.5</v>
      </c>
      <c r="CD7" s="13"/>
      <c r="CG7" s="15"/>
    </row>
    <row r="8" spans="1:85" ht="45" customHeight="1" thickBot="1" x14ac:dyDescent="0.3">
      <c r="A8" s="1">
        <v>1082379</v>
      </c>
      <c r="B8" s="17">
        <f>GEMINI!L8</f>
        <v>41525</v>
      </c>
      <c r="C8" s="17">
        <f>GEMINI!M8</f>
        <v>48125</v>
      </c>
      <c r="D8" s="6" t="str">
        <f>IF(I8&lt;GEMINI!L8,"למכור בהפסד",IF(I8&gt;GEMINI!M8,"למכור ברווח","לשמור"))</f>
        <v>למכור בהפסד</v>
      </c>
      <c r="E8" s="5" t="s">
        <v>50</v>
      </c>
      <c r="F8" s="4">
        <v>45994</v>
      </c>
      <c r="G8" s="27">
        <v>4</v>
      </c>
      <c r="H8" s="13">
        <v>39632.5</v>
      </c>
      <c r="I8" s="13">
        <v>40940</v>
      </c>
      <c r="J8" s="13">
        <v>39370</v>
      </c>
      <c r="K8" s="13">
        <v>40780</v>
      </c>
      <c r="L8" s="13">
        <v>41300</v>
      </c>
      <c r="M8" s="13">
        <v>40180</v>
      </c>
      <c r="N8" s="13">
        <v>41140</v>
      </c>
      <c r="O8" s="13">
        <v>43310</v>
      </c>
      <c r="P8" s="13">
        <v>45300</v>
      </c>
      <c r="Q8" s="13">
        <v>40740</v>
      </c>
      <c r="R8" s="13">
        <v>39070</v>
      </c>
      <c r="S8" s="13">
        <v>39600</v>
      </c>
      <c r="T8" s="13">
        <v>43640</v>
      </c>
      <c r="U8" s="13">
        <v>42700</v>
      </c>
      <c r="V8" s="13">
        <v>42140</v>
      </c>
      <c r="W8" s="13">
        <v>43490</v>
      </c>
      <c r="X8" s="13">
        <v>40750</v>
      </c>
      <c r="Y8" s="13">
        <v>40900</v>
      </c>
      <c r="Z8" s="13">
        <v>40790</v>
      </c>
      <c r="AA8" s="13">
        <v>40820</v>
      </c>
      <c r="AB8" s="13">
        <v>41570</v>
      </c>
      <c r="AC8" s="13">
        <v>42050</v>
      </c>
      <c r="AD8" s="13">
        <v>39960</v>
      </c>
      <c r="AE8" s="13">
        <v>39990</v>
      </c>
      <c r="AF8" s="13">
        <v>38680</v>
      </c>
      <c r="AG8" s="13">
        <v>38680</v>
      </c>
      <c r="AH8" s="13">
        <v>37770</v>
      </c>
      <c r="AI8" s="13">
        <v>36330</v>
      </c>
      <c r="AJ8" s="13">
        <v>38680</v>
      </c>
      <c r="AK8" s="13">
        <v>39090</v>
      </c>
      <c r="AL8" s="13">
        <v>37300</v>
      </c>
      <c r="AM8" s="13">
        <v>37650</v>
      </c>
      <c r="AN8" s="13">
        <v>37300</v>
      </c>
      <c r="AO8" s="13">
        <v>39450</v>
      </c>
      <c r="AP8" s="13">
        <v>38390</v>
      </c>
      <c r="AQ8" s="13">
        <v>38800</v>
      </c>
      <c r="AR8" s="13">
        <v>38510</v>
      </c>
      <c r="AS8" s="13">
        <v>38970</v>
      </c>
      <c r="AT8" s="13">
        <v>38970</v>
      </c>
      <c r="AU8" s="13">
        <v>37700</v>
      </c>
      <c r="AV8" s="13">
        <v>37700</v>
      </c>
      <c r="AW8" s="13">
        <v>37750</v>
      </c>
      <c r="AX8" s="13">
        <v>38430</v>
      </c>
      <c r="AY8" s="13">
        <v>38250</v>
      </c>
      <c r="AZ8" s="13">
        <v>40110</v>
      </c>
      <c r="BA8" s="13">
        <v>40820</v>
      </c>
      <c r="BB8" s="13">
        <v>39320</v>
      </c>
      <c r="BC8" s="13">
        <v>37800</v>
      </c>
      <c r="BD8" s="13">
        <v>36620</v>
      </c>
      <c r="BE8" s="13">
        <v>37130</v>
      </c>
      <c r="BF8" s="13">
        <v>35850</v>
      </c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29"/>
      <c r="BU8" s="13"/>
      <c r="BV8" s="13"/>
      <c r="BW8" s="29"/>
      <c r="BX8" s="13"/>
      <c r="BY8" s="13"/>
      <c r="BZ8" s="13"/>
      <c r="CA8" s="13"/>
      <c r="CB8" s="13">
        <f>(G8*H8)/100-CG8</f>
        <v>1585.3</v>
      </c>
      <c r="CC8" s="13">
        <f t="shared" si="0"/>
        <v>1585.3</v>
      </c>
      <c r="CD8" s="13">
        <f t="shared" ref="CD8:CD11" si="2">(CC8-CB8)</f>
        <v>0</v>
      </c>
      <c r="CG8" s="15"/>
    </row>
    <row r="9" spans="1:85" ht="45" customHeight="1" thickBot="1" x14ac:dyDescent="0.3">
      <c r="A9" s="1">
        <v>1166974</v>
      </c>
      <c r="B9" s="17">
        <f>GEMINI!L9</f>
        <v>981.25</v>
      </c>
      <c r="C9" s="17">
        <f>GEMINI!M9</f>
        <v>1245</v>
      </c>
      <c r="D9" s="6" t="str">
        <f>IF(I9&lt;GEMINI!L9,"למכור בהפסד",IF(I9&gt;GEMINI!M9,"למכור ברווח","לשמור"))</f>
        <v>לשמור</v>
      </c>
      <c r="E9" s="5" t="s">
        <v>68</v>
      </c>
      <c r="F9" s="4">
        <v>46016</v>
      </c>
      <c r="G9" s="27">
        <v>80</v>
      </c>
      <c r="H9" s="13">
        <v>901.87</v>
      </c>
      <c r="I9" s="13">
        <v>1037</v>
      </c>
      <c r="J9" s="13">
        <v>1037</v>
      </c>
      <c r="K9" s="13">
        <v>1048</v>
      </c>
      <c r="L9" s="13">
        <v>1060</v>
      </c>
      <c r="M9" s="13">
        <v>1050</v>
      </c>
      <c r="N9" s="13">
        <v>1074</v>
      </c>
      <c r="O9" s="13">
        <v>1070</v>
      </c>
      <c r="P9" s="13">
        <v>1086</v>
      </c>
      <c r="Q9" s="13">
        <v>1054</v>
      </c>
      <c r="R9" s="13">
        <v>1063</v>
      </c>
      <c r="S9" s="13">
        <v>1099</v>
      </c>
      <c r="T9" s="13">
        <v>1173</v>
      </c>
      <c r="U9" s="13">
        <v>1114</v>
      </c>
      <c r="V9" s="13">
        <v>1075</v>
      </c>
      <c r="W9" s="13">
        <v>1109</v>
      </c>
      <c r="X9" s="13">
        <v>1090</v>
      </c>
      <c r="Y9" s="13">
        <v>1144</v>
      </c>
      <c r="Z9" s="13">
        <v>1162</v>
      </c>
      <c r="AA9" s="13">
        <v>1109</v>
      </c>
      <c r="AB9" s="13">
        <v>1029</v>
      </c>
      <c r="AC9" s="13">
        <v>993</v>
      </c>
      <c r="AD9" s="13">
        <v>1017</v>
      </c>
      <c r="AE9" s="13">
        <v>960</v>
      </c>
      <c r="AF9" s="13">
        <v>965</v>
      </c>
      <c r="AG9" s="13">
        <v>965</v>
      </c>
      <c r="AH9" s="13">
        <v>951.7</v>
      </c>
      <c r="AI9" s="13">
        <v>946</v>
      </c>
      <c r="AJ9" s="13">
        <v>869.2</v>
      </c>
      <c r="AK9" s="13">
        <v>865</v>
      </c>
      <c r="AL9" s="13">
        <v>851</v>
      </c>
      <c r="AM9" s="13">
        <v>829.3</v>
      </c>
      <c r="AN9" s="13">
        <v>830</v>
      </c>
      <c r="AO9" s="13">
        <v>810</v>
      </c>
      <c r="AP9" s="13">
        <v>812.8</v>
      </c>
      <c r="AQ9" s="13">
        <v>788</v>
      </c>
      <c r="AR9" s="13">
        <v>772</v>
      </c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29"/>
      <c r="BU9" s="13"/>
      <c r="BV9" s="13"/>
      <c r="BW9" s="29"/>
      <c r="BX9" s="13"/>
      <c r="BY9" s="13"/>
      <c r="BZ9" s="13"/>
      <c r="CA9" s="13"/>
      <c r="CB9" s="13">
        <f>(G9*H9)/100-CG9</f>
        <v>721.49600000000009</v>
      </c>
      <c r="CC9" s="13">
        <f t="shared" si="0"/>
        <v>721.49600000000009</v>
      </c>
      <c r="CD9" s="13">
        <f t="shared" si="2"/>
        <v>0</v>
      </c>
      <c r="CG9" s="15"/>
    </row>
    <row r="10" spans="1:85" ht="45" customHeight="1" thickBot="1" x14ac:dyDescent="0.3">
      <c r="A10" s="1">
        <v>1122654</v>
      </c>
      <c r="B10" s="17">
        <f>GEMINI!L10</f>
        <v>63.5</v>
      </c>
      <c r="C10" s="17">
        <f>GEMINI!M10</f>
        <v>93.25</v>
      </c>
      <c r="D10" s="6" t="str">
        <f>IF(I10&lt;GEMINI!L10,"למכור בהפסד",IF(I10&gt;GEMINI!M10,"למכור ברווח","לשמור"))</f>
        <v>לשמור</v>
      </c>
      <c r="E10" s="5" t="s">
        <v>96</v>
      </c>
      <c r="F10" s="4">
        <v>46052</v>
      </c>
      <c r="G10" s="27">
        <v>300</v>
      </c>
      <c r="H10" s="13">
        <v>93.13</v>
      </c>
      <c r="I10" s="13">
        <v>72.400000000000006</v>
      </c>
      <c r="J10" s="13">
        <v>73.7</v>
      </c>
      <c r="K10" s="13">
        <v>78.900000000000006</v>
      </c>
      <c r="L10" s="13">
        <v>79.400000000000006</v>
      </c>
      <c r="M10" s="13">
        <v>89.9</v>
      </c>
      <c r="N10" s="13">
        <v>82.2</v>
      </c>
      <c r="O10" s="13">
        <v>74.5</v>
      </c>
      <c r="P10" s="13">
        <v>67.900000000000006</v>
      </c>
      <c r="Q10" s="13">
        <v>71.3</v>
      </c>
      <c r="R10" s="13">
        <v>72.099999999999994</v>
      </c>
      <c r="S10" s="13">
        <v>86.7</v>
      </c>
      <c r="T10" s="13">
        <v>91.5</v>
      </c>
      <c r="U10" s="13">
        <v>91.5</v>
      </c>
      <c r="V10" s="13">
        <v>132.6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29"/>
      <c r="BU10" s="13"/>
      <c r="BV10" s="13"/>
      <c r="BW10" s="29"/>
      <c r="BX10" s="13"/>
      <c r="BY10" s="13"/>
      <c r="BZ10" s="13"/>
      <c r="CA10" s="13"/>
      <c r="CB10" s="13">
        <f>(G10*H10)/100-CG10</f>
        <v>279.39</v>
      </c>
      <c r="CC10" s="13">
        <f t="shared" si="0"/>
        <v>279.39</v>
      </c>
      <c r="CD10" s="13">
        <f t="shared" si="2"/>
        <v>0</v>
      </c>
      <c r="CG10" s="15"/>
    </row>
    <row r="11" spans="1:85" ht="45" customHeight="1" thickBot="1" x14ac:dyDescent="0.3">
      <c r="A11" s="1">
        <v>662577</v>
      </c>
      <c r="B11" s="17">
        <f>GEMINI!L11</f>
        <v>7632.5</v>
      </c>
      <c r="C11" s="17">
        <f>GEMINI!M11</f>
        <v>8700</v>
      </c>
      <c r="D11" s="6" t="str">
        <f>IF(I11&lt;GEMINI!L11,"למכור בהפסד",IF(I11&gt;GEMINI!M11,"למכור ברווח","לשמור"))</f>
        <v>לשמור</v>
      </c>
      <c r="E11" s="5" t="s">
        <v>66</v>
      </c>
      <c r="F11" s="4">
        <v>45921</v>
      </c>
      <c r="G11" s="27">
        <v>9</v>
      </c>
      <c r="H11" s="13">
        <v>7204.22</v>
      </c>
      <c r="I11" s="13">
        <v>8253</v>
      </c>
      <c r="J11" s="13">
        <v>8269</v>
      </c>
      <c r="K11" s="13">
        <v>8234</v>
      </c>
      <c r="L11" s="13">
        <v>8294</v>
      </c>
      <c r="M11" s="13">
        <v>8429</v>
      </c>
      <c r="N11" s="13">
        <v>8276</v>
      </c>
      <c r="O11" s="13">
        <v>8280</v>
      </c>
      <c r="P11" s="13">
        <v>8100</v>
      </c>
      <c r="Q11" s="13">
        <v>7922</v>
      </c>
      <c r="R11" s="13">
        <v>7884</v>
      </c>
      <c r="S11" s="13">
        <v>8051</v>
      </c>
      <c r="T11" s="13">
        <v>7911</v>
      </c>
      <c r="U11" s="13">
        <v>7833</v>
      </c>
      <c r="V11" s="13">
        <v>7687</v>
      </c>
      <c r="W11" s="13">
        <v>7672</v>
      </c>
      <c r="X11" s="13">
        <v>7676</v>
      </c>
      <c r="Y11" s="13">
        <v>7844</v>
      </c>
      <c r="Z11" s="13">
        <v>7810</v>
      </c>
      <c r="AA11" s="13">
        <v>7710</v>
      </c>
      <c r="AB11" s="13">
        <v>7735</v>
      </c>
      <c r="AC11" s="13">
        <v>7725</v>
      </c>
      <c r="AD11" s="13">
        <v>7787</v>
      </c>
      <c r="AE11" s="13">
        <v>7955</v>
      </c>
      <c r="AF11" s="13">
        <v>7627</v>
      </c>
      <c r="AG11" s="13">
        <v>7627</v>
      </c>
      <c r="AH11" s="13">
        <v>7656</v>
      </c>
      <c r="AI11" s="13">
        <v>7507</v>
      </c>
      <c r="AJ11" s="13">
        <v>7590</v>
      </c>
      <c r="AK11" s="13">
        <v>7569</v>
      </c>
      <c r="AL11" s="13">
        <v>7269</v>
      </c>
      <c r="AM11" s="13">
        <v>7444</v>
      </c>
      <c r="AN11" s="13">
        <v>7205</v>
      </c>
      <c r="AO11" s="13">
        <v>7298</v>
      </c>
      <c r="AP11" s="13">
        <v>7222</v>
      </c>
      <c r="AQ11" s="13">
        <v>7079</v>
      </c>
      <c r="AR11" s="13">
        <v>7140</v>
      </c>
      <c r="AS11" s="13">
        <v>7440</v>
      </c>
      <c r="AT11" s="13">
        <v>7530</v>
      </c>
      <c r="AU11" s="13">
        <v>7535</v>
      </c>
      <c r="AV11" s="13">
        <v>7535</v>
      </c>
      <c r="AW11" s="13">
        <v>7568</v>
      </c>
      <c r="AX11" s="13">
        <v>7699</v>
      </c>
      <c r="AY11" s="13">
        <v>7638</v>
      </c>
      <c r="AZ11" s="13">
        <v>7654</v>
      </c>
      <c r="BA11" s="13">
        <v>7584</v>
      </c>
      <c r="BB11" s="13">
        <v>7479</v>
      </c>
      <c r="BC11" s="13">
        <v>7490</v>
      </c>
      <c r="BD11" s="13">
        <v>7480</v>
      </c>
      <c r="BE11" s="13">
        <v>7270</v>
      </c>
      <c r="BF11" s="13">
        <v>7163</v>
      </c>
      <c r="BG11" s="13">
        <v>7231</v>
      </c>
      <c r="BH11" s="13">
        <v>7100</v>
      </c>
      <c r="BI11" s="13">
        <v>7100</v>
      </c>
      <c r="BJ11" s="13">
        <v>7027</v>
      </c>
      <c r="BK11" s="13">
        <v>6984</v>
      </c>
      <c r="BL11" s="13">
        <v>6944</v>
      </c>
      <c r="BM11" s="13">
        <v>6924</v>
      </c>
      <c r="BN11" s="13">
        <v>6930</v>
      </c>
      <c r="BO11" s="13">
        <v>6938</v>
      </c>
      <c r="BP11" s="13">
        <v>6989</v>
      </c>
      <c r="BQ11" s="13">
        <v>6871</v>
      </c>
      <c r="BR11" s="13">
        <v>6943</v>
      </c>
      <c r="BS11" s="13">
        <v>7040</v>
      </c>
      <c r="BT11" s="29">
        <v>6696</v>
      </c>
      <c r="BU11" s="13">
        <v>6965</v>
      </c>
      <c r="BV11" s="13">
        <v>6788</v>
      </c>
      <c r="BW11" s="29">
        <v>6696</v>
      </c>
      <c r="BX11" s="13">
        <v>6625</v>
      </c>
      <c r="BY11" s="13">
        <v>6660</v>
      </c>
      <c r="BZ11" s="13">
        <v>6791</v>
      </c>
      <c r="CA11" s="13">
        <v>6610</v>
      </c>
      <c r="CB11" s="13">
        <f>(G11*H11)/100-CG11</f>
        <v>648.37980000000005</v>
      </c>
      <c r="CC11" s="13">
        <f t="shared" si="0"/>
        <v>648.37980000000005</v>
      </c>
      <c r="CD11" s="13">
        <f t="shared" si="2"/>
        <v>0</v>
      </c>
      <c r="CG11" s="15"/>
    </row>
    <row r="12" spans="1:85" ht="45" customHeight="1" thickBot="1" x14ac:dyDescent="0.3">
      <c r="A12" s="1">
        <v>5137534</v>
      </c>
      <c r="B12" s="17">
        <f>GEMINI!L12</f>
        <v>12742.5</v>
      </c>
      <c r="C12" s="17">
        <f>GEMINI!M12</f>
        <v>15095</v>
      </c>
      <c r="D12" s="6" t="str">
        <f>IF(I12&lt;GEMINI!L12,"למכור בהפסד",IF(I12&gt;GEMINI!M12,"למכור ברווח","לשמור"))</f>
        <v>למכור בהפסד</v>
      </c>
      <c r="E12" s="5" t="s">
        <v>73</v>
      </c>
      <c r="F12" s="28">
        <v>46020</v>
      </c>
      <c r="G12" s="27">
        <v>8</v>
      </c>
      <c r="H12" s="13">
        <v>11598.87</v>
      </c>
      <c r="I12" s="13">
        <v>12726.62</v>
      </c>
      <c r="J12" s="13">
        <v>12295.75</v>
      </c>
      <c r="K12" s="13">
        <v>12858.37</v>
      </c>
      <c r="L12" s="13">
        <v>12829.25</v>
      </c>
      <c r="M12" s="13">
        <v>13287.75</v>
      </c>
      <c r="N12" s="13">
        <v>13100</v>
      </c>
      <c r="O12" s="13">
        <v>12946.62</v>
      </c>
      <c r="P12" s="13">
        <v>13244</v>
      </c>
      <c r="Q12" s="13">
        <v>12628.12</v>
      </c>
      <c r="R12" s="13">
        <v>11710.62</v>
      </c>
      <c r="S12" s="13">
        <v>12145</v>
      </c>
      <c r="T12" s="13">
        <v>11855.12</v>
      </c>
      <c r="U12" s="13">
        <v>11946.75</v>
      </c>
      <c r="V12" s="13">
        <v>11946.75</v>
      </c>
      <c r="W12" s="13">
        <v>14679.12</v>
      </c>
      <c r="X12" s="13">
        <v>14679.12</v>
      </c>
      <c r="Y12" s="13">
        <v>13968</v>
      </c>
      <c r="Z12" s="13">
        <v>15528.12</v>
      </c>
      <c r="AA12" s="13">
        <v>14358.25</v>
      </c>
      <c r="AB12" s="13">
        <v>14385.75</v>
      </c>
      <c r="AC12" s="13">
        <v>13880</v>
      </c>
      <c r="AD12" s="13">
        <v>13610.62</v>
      </c>
      <c r="AE12" s="13">
        <v>13016</v>
      </c>
      <c r="AF12" s="13">
        <v>12487.37</v>
      </c>
      <c r="AG12" s="13">
        <v>12638.62</v>
      </c>
      <c r="AH12" s="13">
        <v>12533.87</v>
      </c>
      <c r="AI12" s="13">
        <v>11299.5</v>
      </c>
      <c r="AJ12" s="13">
        <v>11193.12</v>
      </c>
      <c r="AK12" s="13">
        <v>11548.62</v>
      </c>
      <c r="AL12" s="13">
        <v>11125.62</v>
      </c>
      <c r="AM12" s="13">
        <v>10932.12</v>
      </c>
      <c r="AN12" s="13">
        <v>11095.62</v>
      </c>
      <c r="AO12" s="13">
        <v>10910.58</v>
      </c>
      <c r="AP12" s="13">
        <v>11609.37</v>
      </c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4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29"/>
      <c r="BU12" s="13"/>
      <c r="BV12" s="13"/>
      <c r="BW12" s="29"/>
      <c r="BX12" s="13"/>
      <c r="BY12" s="13"/>
      <c r="BZ12" s="13"/>
      <c r="CA12" s="13"/>
      <c r="CB12" s="13">
        <f>(G12*H12)/100-CG12</f>
        <v>927.90960000000007</v>
      </c>
      <c r="CC12" s="13">
        <f t="shared" si="0"/>
        <v>927.90960000000007</v>
      </c>
      <c r="CD12" s="13"/>
      <c r="CG12" s="15"/>
    </row>
    <row r="13" spans="1:85" ht="45" customHeight="1" thickBot="1" x14ac:dyDescent="0.3">
      <c r="A13" s="1">
        <v>5135470</v>
      </c>
      <c r="B13" s="17">
        <f>GEMINI!L13</f>
        <v>203.75</v>
      </c>
      <c r="C13" s="17">
        <f>GEMINI!M13</f>
        <v>243.25</v>
      </c>
      <c r="D13" s="6" t="str">
        <f>IF(I13&lt;GEMINI!L13,"למכור בהפסד",IF(I13&gt;GEMINI!M13,"למכור ברווח","לשמור"))</f>
        <v>לשמור</v>
      </c>
      <c r="E13" s="5" t="s">
        <v>0</v>
      </c>
      <c r="F13" s="4">
        <v>45910</v>
      </c>
      <c r="G13" s="27">
        <v>500</v>
      </c>
      <c r="H13" s="13">
        <v>197.23</v>
      </c>
      <c r="I13" s="13">
        <v>218.62</v>
      </c>
      <c r="J13" s="13">
        <v>217.08</v>
      </c>
      <c r="K13" s="13">
        <v>212.67</v>
      </c>
      <c r="L13" s="13">
        <v>214.11</v>
      </c>
      <c r="M13" s="13">
        <v>216.07</v>
      </c>
      <c r="N13" s="13">
        <v>216.07</v>
      </c>
      <c r="O13" s="13">
        <v>219.37</v>
      </c>
      <c r="P13" s="13">
        <v>216</v>
      </c>
      <c r="Q13" s="13">
        <v>216.57</v>
      </c>
      <c r="R13" s="13">
        <v>216.57</v>
      </c>
      <c r="S13" s="13">
        <v>221.02</v>
      </c>
      <c r="T13" s="13">
        <v>218.38</v>
      </c>
      <c r="U13" s="13">
        <v>218.36</v>
      </c>
      <c r="V13" s="13">
        <v>223.13</v>
      </c>
      <c r="W13" s="13">
        <v>227.54</v>
      </c>
      <c r="X13" s="13">
        <v>226.96</v>
      </c>
      <c r="Y13" s="13">
        <v>225.24</v>
      </c>
      <c r="Z13" s="13">
        <v>223.25</v>
      </c>
      <c r="AA13" s="13">
        <v>219.14</v>
      </c>
      <c r="AB13" s="13">
        <v>219.14</v>
      </c>
      <c r="AC13" s="13">
        <v>219.3</v>
      </c>
      <c r="AD13" s="13">
        <v>222.79</v>
      </c>
      <c r="AE13" s="13">
        <v>221.16</v>
      </c>
      <c r="AF13" s="13">
        <v>220.66</v>
      </c>
      <c r="AG13" s="13">
        <v>222.06</v>
      </c>
      <c r="AH13" s="13">
        <v>218.71</v>
      </c>
      <c r="AI13" s="13">
        <v>216.74</v>
      </c>
      <c r="AJ13" s="13">
        <v>216.04</v>
      </c>
      <c r="AK13" s="13">
        <v>210.69</v>
      </c>
      <c r="AL13" s="13">
        <v>210.69</v>
      </c>
      <c r="AM13" s="13">
        <v>198</v>
      </c>
      <c r="AN13" s="13">
        <v>196.74</v>
      </c>
      <c r="AO13" s="13">
        <v>192.56</v>
      </c>
      <c r="AP13" s="13">
        <v>192.23</v>
      </c>
      <c r="AQ13" s="13">
        <v>191.19</v>
      </c>
      <c r="AR13" s="13">
        <v>193.62</v>
      </c>
      <c r="AS13" s="13">
        <v>190.75</v>
      </c>
      <c r="AT13" s="13">
        <v>189.06</v>
      </c>
      <c r="AU13" s="13">
        <v>182.73</v>
      </c>
      <c r="AV13" s="13">
        <v>182.73</v>
      </c>
      <c r="AW13" s="13">
        <v>177.92</v>
      </c>
      <c r="AX13" s="13">
        <v>179.16</v>
      </c>
      <c r="AY13" s="13">
        <v>179.34</v>
      </c>
      <c r="AZ13" s="13">
        <v>176.5</v>
      </c>
      <c r="BA13" s="13">
        <v>176.5</v>
      </c>
      <c r="BB13" s="13">
        <v>175.93</v>
      </c>
      <c r="BC13" s="13">
        <v>174.51</v>
      </c>
      <c r="BD13" s="13">
        <v>173.91</v>
      </c>
      <c r="BE13" s="13">
        <v>177.1</v>
      </c>
      <c r="BF13" s="13">
        <v>178.24</v>
      </c>
      <c r="BG13" s="13">
        <v>176.52</v>
      </c>
      <c r="BH13" s="13">
        <v>178.27</v>
      </c>
      <c r="BI13" s="13">
        <v>175.29</v>
      </c>
      <c r="BJ13" s="13">
        <v>175.34</v>
      </c>
      <c r="BK13" s="13">
        <v>174.41</v>
      </c>
      <c r="BL13" s="13">
        <v>176.22</v>
      </c>
      <c r="BM13" s="13">
        <v>174</v>
      </c>
      <c r="BN13" s="13">
        <v>176.35</v>
      </c>
      <c r="BO13" s="13">
        <v>177.71</v>
      </c>
      <c r="BP13" s="13">
        <v>180.08</v>
      </c>
      <c r="BQ13" s="13">
        <v>181.96</v>
      </c>
      <c r="BR13" s="13">
        <v>182.9</v>
      </c>
      <c r="BS13" s="13">
        <v>181.86</v>
      </c>
      <c r="BT13" s="29">
        <v>182.56</v>
      </c>
      <c r="BU13" s="13">
        <v>181.07</v>
      </c>
      <c r="BV13" s="13">
        <v>182.56</v>
      </c>
      <c r="BW13" s="29">
        <v>182.56</v>
      </c>
      <c r="BX13" s="13">
        <v>178.86</v>
      </c>
      <c r="BY13" s="13">
        <v>180.16</v>
      </c>
      <c r="BZ13" s="13">
        <v>179.56</v>
      </c>
      <c r="CA13" s="13">
        <v>176.55</v>
      </c>
      <c r="CB13" s="13">
        <f>(G13*H13)/100-CG13</f>
        <v>986.15</v>
      </c>
      <c r="CC13" s="13">
        <f t="shared" si="0"/>
        <v>986.15</v>
      </c>
      <c r="CD13" s="13"/>
      <c r="CG13" s="15"/>
    </row>
    <row r="14" spans="1:85" ht="45" customHeight="1" thickBot="1" x14ac:dyDescent="0.3">
      <c r="A14" s="1">
        <v>5134135</v>
      </c>
      <c r="B14" s="17">
        <f>GEMINI!L14</f>
        <v>170.5</v>
      </c>
      <c r="C14" s="17">
        <f>GEMINI!M14</f>
        <v>206</v>
      </c>
      <c r="D14" s="6" t="str">
        <f>IF(I14&lt;GEMINI!L14,"למכור בהפסד",IF(I14&gt;GEMINI!M14,"למכור ברווח","לשמור"))</f>
        <v>לשמור</v>
      </c>
      <c r="E14" s="5" t="s">
        <v>75</v>
      </c>
      <c r="F14" s="4">
        <v>46021</v>
      </c>
      <c r="G14" s="27">
        <v>600</v>
      </c>
      <c r="H14" s="13">
        <v>159.02000000000001</v>
      </c>
      <c r="I14" s="13">
        <v>188.1</v>
      </c>
      <c r="J14" s="13">
        <v>188.1</v>
      </c>
      <c r="K14" s="13">
        <v>188.1</v>
      </c>
      <c r="L14" s="13">
        <v>188.59</v>
      </c>
      <c r="M14" s="13">
        <v>189.53</v>
      </c>
      <c r="N14" s="13">
        <v>189.53</v>
      </c>
      <c r="O14" s="13">
        <v>181.5</v>
      </c>
      <c r="P14" s="13">
        <v>181.5</v>
      </c>
      <c r="Q14" s="13">
        <v>177.17</v>
      </c>
      <c r="R14" s="13">
        <v>186.88</v>
      </c>
      <c r="S14" s="13">
        <v>184.42</v>
      </c>
      <c r="T14" s="13">
        <v>184.42</v>
      </c>
      <c r="U14" s="13">
        <v>184.42</v>
      </c>
      <c r="V14" s="13">
        <v>199.37</v>
      </c>
      <c r="W14" s="13">
        <v>194.88</v>
      </c>
      <c r="X14" s="13">
        <v>189.51</v>
      </c>
      <c r="Y14" s="13">
        <v>189.51</v>
      </c>
      <c r="Z14" s="13">
        <v>189.51</v>
      </c>
      <c r="AA14" s="13">
        <v>185.52</v>
      </c>
      <c r="AB14" s="13">
        <v>185.52</v>
      </c>
      <c r="AC14" s="13">
        <v>178.98</v>
      </c>
      <c r="AD14" s="13">
        <v>178.98</v>
      </c>
      <c r="AE14" s="13">
        <v>178.98</v>
      </c>
      <c r="AF14" s="13">
        <v>170.7</v>
      </c>
      <c r="AG14" s="13">
        <v>170.7</v>
      </c>
      <c r="AH14" s="13">
        <v>170.7</v>
      </c>
      <c r="AI14" s="13">
        <v>170.45</v>
      </c>
      <c r="AJ14" s="13">
        <v>160.84</v>
      </c>
      <c r="AK14" s="13">
        <v>160.84</v>
      </c>
      <c r="AL14" s="13">
        <v>160.84</v>
      </c>
      <c r="AM14" s="13">
        <v>159.02000000000001</v>
      </c>
      <c r="AN14" s="13">
        <v>159.65</v>
      </c>
      <c r="AO14" s="13">
        <v>159.65</v>
      </c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29"/>
      <c r="BU14" s="13"/>
      <c r="BV14" s="13"/>
      <c r="BW14" s="29"/>
      <c r="BX14" s="13"/>
      <c r="BY14" s="13"/>
      <c r="BZ14" s="13"/>
      <c r="CA14" s="13"/>
      <c r="CB14" s="13">
        <f>(G14*H14)/100-CG14</f>
        <v>954.12</v>
      </c>
      <c r="CC14" s="13">
        <f t="shared" si="0"/>
        <v>954.12</v>
      </c>
      <c r="CD14" s="13">
        <f t="shared" ref="CD14" si="3">(CC14-CB14)</f>
        <v>0</v>
      </c>
      <c r="CG14" s="15"/>
    </row>
    <row r="15" spans="1:85" ht="45" customHeight="1" thickBot="1" x14ac:dyDescent="0.3">
      <c r="A15" s="1">
        <v>1168723</v>
      </c>
      <c r="B15" s="17">
        <f>GEMINI!L15</f>
        <v>1680.75</v>
      </c>
      <c r="C15" s="17">
        <f>GEMINI!M15</f>
        <v>2053.25</v>
      </c>
      <c r="D15" s="6" t="str">
        <f>IF(I15&lt;GEMINI!L15,"למכור בהפסד",IF(I15&gt;GEMINI!M15,"למכור ברווח","לשמור"))</f>
        <v>לשמור</v>
      </c>
      <c r="E15" s="5" t="s">
        <v>71</v>
      </c>
      <c r="F15" s="4">
        <v>46019</v>
      </c>
      <c r="G15" s="27">
        <v>55</v>
      </c>
      <c r="H15" s="13">
        <v>1523.63</v>
      </c>
      <c r="I15" s="13">
        <v>2033</v>
      </c>
      <c r="J15" s="13">
        <v>2004</v>
      </c>
      <c r="K15" s="13">
        <v>1944</v>
      </c>
      <c r="L15" s="13">
        <v>1941</v>
      </c>
      <c r="M15" s="13">
        <v>1939</v>
      </c>
      <c r="N15" s="13">
        <v>1912</v>
      </c>
      <c r="O15" s="13">
        <v>1891</v>
      </c>
      <c r="P15" s="13">
        <v>1864</v>
      </c>
      <c r="Q15" s="13">
        <v>1823</v>
      </c>
      <c r="R15" s="13">
        <v>1819</v>
      </c>
      <c r="S15" s="13">
        <v>1866</v>
      </c>
      <c r="T15" s="13">
        <v>1886</v>
      </c>
      <c r="U15" s="13">
        <v>1818</v>
      </c>
      <c r="V15" s="13">
        <v>1785</v>
      </c>
      <c r="W15" s="13">
        <v>1828</v>
      </c>
      <c r="X15" s="13">
        <v>1811</v>
      </c>
      <c r="Y15" s="13">
        <v>1825</v>
      </c>
      <c r="Z15" s="13">
        <v>1831</v>
      </c>
      <c r="AA15" s="13">
        <v>1799</v>
      </c>
      <c r="AB15" s="13">
        <v>1757</v>
      </c>
      <c r="AC15" s="13">
        <v>1698</v>
      </c>
      <c r="AD15" s="13">
        <v>1694</v>
      </c>
      <c r="AE15" s="13">
        <v>1671</v>
      </c>
      <c r="AF15" s="13">
        <v>1660</v>
      </c>
      <c r="AG15" s="13">
        <v>1660</v>
      </c>
      <c r="AH15" s="13">
        <v>1646</v>
      </c>
      <c r="AI15" s="13">
        <v>1648</v>
      </c>
      <c r="AJ15" s="13">
        <v>1614</v>
      </c>
      <c r="AK15" s="13">
        <v>1626</v>
      </c>
      <c r="AL15" s="13">
        <v>1587</v>
      </c>
      <c r="AM15" s="13">
        <v>1548</v>
      </c>
      <c r="AN15" s="13">
        <v>1500</v>
      </c>
      <c r="AO15" s="13">
        <v>1491</v>
      </c>
      <c r="AP15" s="13">
        <v>1444</v>
      </c>
      <c r="AQ15" s="13">
        <v>1431</v>
      </c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>
        <v>1788</v>
      </c>
      <c r="BS15" s="13">
        <v>1788</v>
      </c>
      <c r="BT15" s="29">
        <v>1780</v>
      </c>
      <c r="BU15" s="13">
        <v>1814</v>
      </c>
      <c r="BV15" s="13">
        <v>1794</v>
      </c>
      <c r="BW15" s="29">
        <v>1780</v>
      </c>
      <c r="BX15" s="13">
        <v>1772</v>
      </c>
      <c r="BY15" s="13">
        <v>1798</v>
      </c>
      <c r="BZ15" s="13">
        <v>1806</v>
      </c>
      <c r="CA15" s="13">
        <v>1801</v>
      </c>
      <c r="CB15" s="13">
        <f>(G15*H15)/100-CG15</f>
        <v>837.99650000000008</v>
      </c>
      <c r="CC15" s="13">
        <f t="shared" si="0"/>
        <v>837.99650000000008</v>
      </c>
      <c r="CD15" s="13">
        <f t="shared" ref="CD15:CD18" si="4">(CC15-CB15)</f>
        <v>0</v>
      </c>
      <c r="CG15" s="15"/>
    </row>
    <row r="16" spans="1:85" ht="45" customHeight="1" thickBot="1" x14ac:dyDescent="0.3">
      <c r="A16" s="1"/>
      <c r="B16" s="17">
        <f>GEMINI!L16</f>
        <v>0</v>
      </c>
      <c r="C16" s="17">
        <f>GEMINI!M16</f>
        <v>0</v>
      </c>
      <c r="D16" s="6" t="str">
        <f>IF(I16&lt;GEMINI!L16,"למכור בהפסד",IF(I16&gt;GEMINI!M16,"למכור ברווח","לשמור"))</f>
        <v>לשמור</v>
      </c>
      <c r="E16" s="5"/>
      <c r="F16" s="4"/>
      <c r="G16" s="27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29"/>
      <c r="BU16" s="13"/>
      <c r="BV16" s="13"/>
      <c r="BW16" s="29"/>
      <c r="BX16" s="13"/>
      <c r="BY16" s="13"/>
      <c r="BZ16" s="13"/>
      <c r="CA16" s="13"/>
      <c r="CB16" s="13">
        <f>(G16*H16)/100-CG16</f>
        <v>0</v>
      </c>
      <c r="CC16" s="13">
        <f t="shared" si="0"/>
        <v>0</v>
      </c>
      <c r="CD16" s="13">
        <f t="shared" si="4"/>
        <v>0</v>
      </c>
      <c r="CG16" s="15"/>
    </row>
    <row r="17" spans="1:85" ht="45" customHeight="1" thickBot="1" x14ac:dyDescent="0.3">
      <c r="A17" s="1"/>
      <c r="B17" s="17">
        <f>GEMINI!L17</f>
        <v>0</v>
      </c>
      <c r="C17" s="17">
        <f>GEMINI!M17</f>
        <v>0</v>
      </c>
      <c r="D17" s="6" t="str">
        <f>IF(I17&lt;GEMINI!L17,"למכור בהפסד",IF(I17&gt;GEMINI!M17,"למכור ברווח","לשמור"))</f>
        <v>לשמור</v>
      </c>
      <c r="E17" s="5"/>
      <c r="F17" s="4"/>
      <c r="G17" s="27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29"/>
      <c r="BU17" s="13"/>
      <c r="BV17" s="13"/>
      <c r="BW17" s="29"/>
      <c r="BX17" s="13"/>
      <c r="BY17" s="13"/>
      <c r="BZ17" s="13"/>
      <c r="CA17" s="13"/>
      <c r="CB17" s="13">
        <f>(G17*H17)/100-CG17</f>
        <v>0</v>
      </c>
      <c r="CC17" s="13">
        <f t="shared" si="0"/>
        <v>0</v>
      </c>
      <c r="CD17" s="13">
        <f t="shared" ref="CD17" si="5">(CC17-CB17)</f>
        <v>0</v>
      </c>
      <c r="CG17" s="15"/>
    </row>
    <row r="18" spans="1:85" ht="45" customHeight="1" thickBot="1" x14ac:dyDescent="0.3">
      <c r="A18" s="1"/>
      <c r="B18" s="17">
        <f>GEMINI!L18</f>
        <v>0</v>
      </c>
      <c r="C18" s="17">
        <f>GEMINI!M18</f>
        <v>0</v>
      </c>
      <c r="D18" s="6" t="str">
        <f>IF(I18&lt;GEMINI!L18,"למכור בהפסד",IF(I18&gt;GEMINI!M18,"למכור ברווח","לשמור"))</f>
        <v>לשמור</v>
      </c>
      <c r="E18" s="5"/>
      <c r="F18" s="4"/>
      <c r="G18" s="27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>
        <v>1788</v>
      </c>
      <c r="BS18" s="13">
        <v>1788</v>
      </c>
      <c r="BT18" s="29">
        <v>1780</v>
      </c>
      <c r="BU18" s="13">
        <v>1814</v>
      </c>
      <c r="BV18" s="13">
        <v>1794</v>
      </c>
      <c r="BW18" s="29">
        <v>1780</v>
      </c>
      <c r="BX18" s="13">
        <v>1772</v>
      </c>
      <c r="BY18" s="13">
        <v>1798</v>
      </c>
      <c r="BZ18" s="13">
        <v>1806</v>
      </c>
      <c r="CA18" s="13">
        <v>1801</v>
      </c>
      <c r="CB18" s="13">
        <f>(G18*H18)/100-CG18</f>
        <v>0</v>
      </c>
      <c r="CC18" s="13">
        <f t="shared" si="0"/>
        <v>0</v>
      </c>
      <c r="CD18" s="13">
        <f t="shared" si="4"/>
        <v>0</v>
      </c>
      <c r="CG18" s="15"/>
    </row>
    <row r="19" spans="1:85" ht="45" customHeight="1" thickBot="1" x14ac:dyDescent="0.3">
      <c r="A19" s="1"/>
      <c r="B19" s="17">
        <f>GEMINI!L19</f>
        <v>0</v>
      </c>
      <c r="C19" s="17">
        <f>GEMINI!M19</f>
        <v>0</v>
      </c>
      <c r="D19" s="6" t="str">
        <f>IF(I19&lt;GEMINI!L19,"למכור בהפסד",IF(I19&gt;GEMINI!M19,"למכור ברווח","לשמור"))</f>
        <v>לשמור</v>
      </c>
      <c r="E19" s="5"/>
      <c r="F19" s="4"/>
      <c r="G19" s="27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>
        <v>6461</v>
      </c>
      <c r="AN19" s="13">
        <v>6503</v>
      </c>
      <c r="AO19" s="13">
        <v>6535</v>
      </c>
      <c r="AP19" s="13">
        <v>6532</v>
      </c>
      <c r="AQ19" s="13">
        <v>6515</v>
      </c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29"/>
      <c r="BU19" s="13"/>
      <c r="BV19" s="13"/>
      <c r="BW19" s="29"/>
      <c r="BX19" s="13"/>
      <c r="BY19" s="13"/>
      <c r="BZ19" s="13"/>
      <c r="CA19" s="13"/>
      <c r="CB19" s="13">
        <f>(G19*H19)/100-CG19</f>
        <v>0</v>
      </c>
      <c r="CC19" s="13">
        <f t="shared" si="0"/>
        <v>0</v>
      </c>
      <c r="CD19" s="13"/>
      <c r="CG19" s="15"/>
    </row>
    <row r="20" spans="1:85" ht="45" customHeight="1" thickBot="1" x14ac:dyDescent="0.3">
      <c r="A20" s="1"/>
      <c r="B20" s="17">
        <f>GEMINI!L20</f>
        <v>0</v>
      </c>
      <c r="C20" s="17">
        <f>GEMINI!M20</f>
        <v>0</v>
      </c>
      <c r="D20" s="6" t="str">
        <f>IF(I20&lt;GEMINI!L12,"למכור בהפסד",IF(I20&gt;GEMINI!M12,"למכור ברווח","לשמור"))</f>
        <v>למכור בהפסד</v>
      </c>
      <c r="E20" s="5"/>
      <c r="F20" s="28"/>
      <c r="G20" s="27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29"/>
      <c r="BU20" s="13"/>
      <c r="BV20" s="13"/>
      <c r="BW20" s="29"/>
      <c r="BX20" s="13"/>
      <c r="BY20" s="13"/>
      <c r="BZ20" s="13"/>
      <c r="CA20" s="13"/>
      <c r="CB20" s="13">
        <f>(G20*H20)/100-CG20</f>
        <v>0</v>
      </c>
      <c r="CC20" s="13">
        <f t="shared" si="0"/>
        <v>0</v>
      </c>
      <c r="CD20" s="13"/>
      <c r="CG20" s="15"/>
    </row>
    <row r="21" spans="1:85" ht="15.75" thickBot="1" x14ac:dyDescent="0.3"/>
    <row r="22" spans="1:85" ht="45" customHeight="1" thickBot="1" x14ac:dyDescent="0.3">
      <c r="A22" s="1"/>
      <c r="B22" s="2"/>
      <c r="C22" s="2"/>
      <c r="D22" s="6"/>
      <c r="E22" s="5"/>
      <c r="F22" s="28"/>
      <c r="G22" s="27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29"/>
      <c r="BU22" s="13"/>
      <c r="BV22" s="13"/>
      <c r="BW22" s="29"/>
      <c r="BX22" s="13"/>
      <c r="BY22" s="13"/>
      <c r="BZ22" s="13"/>
      <c r="CA22" s="13"/>
      <c r="CB22" s="13"/>
      <c r="CC22" s="13"/>
      <c r="CD22" s="13"/>
      <c r="CG22" s="15"/>
    </row>
    <row r="23" spans="1:85" ht="54.95" customHeight="1" thickBot="1" x14ac:dyDescent="0.3">
      <c r="A23" s="1"/>
      <c r="B23" s="2"/>
      <c r="C23" s="2"/>
      <c r="D23" s="2"/>
      <c r="E23" s="3" t="s">
        <v>101</v>
      </c>
      <c r="F23" s="4"/>
      <c r="G23" s="27"/>
      <c r="H23" s="13"/>
      <c r="I23" s="23">
        <f>(G2*I2+G3*I3+G4*I4+G5*I5+G6*I6+G7*I7+G8*I8+I9*G9+G10*I10+I11*G11+G12*I12+G13*I13+G14*I14+I15*G15+I16*G16+G17*I17+G18*I18+G19*I19+G20*I20)/100</f>
        <v>14180.9496</v>
      </c>
      <c r="J23" s="23">
        <f>(J2*G2+G3*J3+J4*G4+G5*J5+G6*J6+G7*J7+G8*J8+G9*J9+G10*J10+G11*J11+G12*J12+J13*G13+G14*J14+J15*G15+G16*J16+G17*J17+J18*G18+G19*J19+G20*J20)/100</f>
        <v>13988.97</v>
      </c>
      <c r="K23" s="23">
        <f>(K2*G2+G3*K3+K4*G4+G5*K5+G6*K6+G7*K7+G8*K8+G9*K9+G10*K10+G11*K11+G12*K12+K13*G13+G14*K14+K15*G15+G16*K16+G17*K17+K18*G18+G19*K19+G20*K20)/100</f>
        <v>13928.979599999999</v>
      </c>
      <c r="L23" s="23">
        <f>(L2*G2+G3*L3+L4*G4+G5*L5+G6*L6+G7*L7+G8*L8+G9*L9+G10*L10+G11*L11+G12*L12+L13*G13+G14*L14+L15*G15+G16*L16+G17*L17+L18*G18+G19*L19+G20*L20)/100</f>
        <v>13842.44</v>
      </c>
      <c r="M23" s="23">
        <f>(H2*M2+H3*M3+H4*M4+H5*M5+H6*M6+H7*M7+H8*M8+M9*H9+H10*M10+M11*H11+H12*M12+H13*M13+H14*M14+M15*H15+M16*H16+H17*M17+H18*M18+H19*M19+H20*M20)/100</f>
        <v>18838141.378162</v>
      </c>
      <c r="N23" s="23">
        <f>(N2*G2+G3*N3+N4*G4+G5*N5+G6*N6+G7*N7+G8*N8+G9*N9+G10*N10+G11*N11+G12*N12+N13*G13+G14*N14+N15*G15+G16*N16+G17*N17+N18*G18+G19*N19+G20*N20)/100</f>
        <v>13836.67</v>
      </c>
      <c r="O23" s="23">
        <f>(O2*G2+G3*O3+O4*G4+G5*O5+G6*O6+G7*O7+G8*O8+G9*O9+G10*O10+G11*O11+G12*O12+O13*G13+G14*O14+O15*G15+G16*O16+G17*O17+O18*G18+G19*O19+G20*O20)/100</f>
        <v>13861.929599999999</v>
      </c>
      <c r="P23" s="23">
        <f>(P2*G2+G3*P3+P4*G4+G5*P5+G6*P6+G7*P7+G8*P8+G9*P9+G10*P10+G11*P11+G12*P12+P13*G13+G14*P14+P15*G15+G16*P16+G17*P17+P18*G18+G19*P19+G20*P20)/100</f>
        <v>13820.22</v>
      </c>
      <c r="Q23" s="23">
        <f>(Q2*G2+G3*Q3+Q4*G4+G5*Q5+G6*Q6+G7*Q7+G8*Q8+G9*Q9+G10*Q10+G11*Q11+G12*Q12+Q13*G13+G14*Q14+Q15*G15+G16*Q16+G17*Q17+Q18*G18+G19*Q19+G20*Q20)/100</f>
        <v>13369.5496</v>
      </c>
      <c r="R23" s="23">
        <f>(R2*G2+G3*R3+R4*G4+G5*R5+G6*R6+G7*R7+G8*R8+G9*R9+G10*R10+G11*R11+G12*R12+R13*G13+G14*R14+R15*G15+G16*R16+G17*R17+R18*G18+G19*R19+G20*R20)/100</f>
        <v>13247.989599999999</v>
      </c>
      <c r="S23" s="23">
        <f>(S2*G2+G3*S3+S4*G4+G5*S5+G6*S6+G7*S7+G8*S8+G9*S9+G10*S10+G11*S11+G12*S12+S13*G13+G14*S14+S15*G15+G16*S16+G17*S17+S18*G18+G19*S19+G20*S20)/100</f>
        <v>13706.11</v>
      </c>
      <c r="T23" s="23">
        <f>(T2*G2+G3*T3+T4*G4+G5*T5+G6*T6+G7*T7+G8*T8+G9*T9+G10*T10+G11*T11+G12*T12+T13*G13+G14*T14+T15*G15+G16*T16+G17*T17+T18*G18+G19*T19+G20*T20)/100</f>
        <v>13883.7196</v>
      </c>
      <c r="U23" s="23">
        <f>(U2*G2+G3*U3+U4*G4+G5*U5+G6*U6+G7*U7+G8*U8+G9*U9+G10*U10+G11*U11+G12*U12+U13*G13+G14*U14+U15*G15+G16*U16+G17*U17+U18*G18+G19*U19+G20*U20)/100</f>
        <v>13103.23</v>
      </c>
      <c r="V23" s="23">
        <f>(V2*G2+G3*V3+V4*G4+G5*V5+G6*V6+G7*V7+G8*V8+G9*V9+G10*V10+G11*V11+G12*V12+V13*G13+G14*V14+V15*G15+G16*V16+G17*V17+V18*G18+G19*V19)/100</f>
        <v>13160.29</v>
      </c>
      <c r="W23" s="23">
        <f>(W2*G2+G3*W3+W4*G4+G5*W5+G6*W6+G7*W7+G8*W8+G9*W9+G10*W10+G11*W11+G12*W12+W13*G13+G14*W14+W15*G15+G16*W16+G17*W17+W18*G18+G19*W19)/100</f>
        <v>13372.1896</v>
      </c>
      <c r="X23" s="23">
        <f>(X2*G2+G3*X3+X4*G4+G5*X5+G6*X6+G7*X7+G8*X8+G9*X9+G10*X10+G11*X11+G12*X12+X13*G13+G14*X14+X15*G15+G16*X16+G17*X17+X18*G18+G19*X19)/100</f>
        <v>13138.679599999999</v>
      </c>
      <c r="Y23" s="23">
        <f>(Y2*G2+G3*Y3+Y4*G4+G5*Y5+G6*Y6+G7*Y7+G8*Y8+G9*Y9+G10*Y10+G11*Y11+G12*Y12+Y13*G13+G14*Y14+Y15*G15+G16*Y16+G17*Y17+Y18*G18+G19*Y19)/100</f>
        <v>13139.11</v>
      </c>
      <c r="Z23" s="23">
        <f>(Z2*G2+G3*Z3+Z4*G4+G5*Z5+G6*Z6+G7*Z7+G8*Z8+G9*Z9+G10*Z10+G11*Z11+G12*Z12+Z13*G13+G14*Z14+Z15*G15+G16*Z16+G17*Z17+Z18*G18+G19*Z19)/100</f>
        <v>13257.6096</v>
      </c>
      <c r="AA23" s="23">
        <f>(AA2*G2+G3*AA3+AA4*G4+G5*AA5+G6*AA6+G7*AA7+G8*AA8+G9*AA9+G10*AA10+G11*AA11+G12*AA12+AA13*G13+G14*AA14+AA15*G15+G16*AA16+G17*AA17+AA18*G18+G19*AA19)/100</f>
        <v>12917.83</v>
      </c>
      <c r="AB23" s="23">
        <f>(AB2*G2+G3*AB3+AB4*G4+G5*AB5+G6*AB6+G7*AB7+G8*AB8+G9*AB9+G10*AB10+G11*AB11+G12*AB12+AB13*G13+G14*AB14+AB15*G15+G16*AB16+G17*AB17+AB18*G18+G19*AB19)/100</f>
        <v>12660.48</v>
      </c>
      <c r="AC23" s="23">
        <f>(AC2*G2+G3*AC3+AC4*G4+G5*AC5+G6*AC6+G7*AC7+G8*AC8+G9*AC9+G10*AC10+G11*AC11+G12*AC12+AC13*G13+G14*AC14+AC15*G15+G16*AC16+G17*AC17+AC18*G18+G19*AC19)/100</f>
        <v>12459.33</v>
      </c>
      <c r="AD23" s="23">
        <f>(AD2*G2+G3*AD3+AD4*G4+G5*AD5+G6*AD6+G7*AD7+G8*AD8+G9*AD9+G10*AD10+G11*AD11+G12*AD12+AD13*G13+G14*AD14+AD15*G15+G16*AD16+G17*AD17+AD18*G18+G19*AD19)/100</f>
        <v>12421.6096</v>
      </c>
      <c r="AE23" s="23">
        <f>(AE3*G3+G4*AE4+AE5*G5+G6*AE6+G7*AE7+G8*AE8+G9*AE9+G10*AE10+G11*AE11+G12*AE12+G14*AE14+AE15*G15+G16*AE16+AE17*G17+G18*AE18+G19*AE19)/100</f>
        <v>11207.86</v>
      </c>
      <c r="AF23" s="23">
        <f>(AF3*G3+G4*AF4+AF5*G5+G6*AF6+G7*AF7+G8*AF8+G9*AF9+G10*AF10+G11*AF11+G12*AF12+G14*AF14+AF15*G15+G16*AF16+AF17*G17+G18*AF18+G19*AF19)/100</f>
        <v>10972.819599999999</v>
      </c>
      <c r="AG23" s="23">
        <f>(AG3*G3+G4*AG4+AG5*G5+G6*AG6+G7*AG7+G8*AG8+G9*AG9+G10*AG10+G11*AG11+G12*AG12+G14*AG14+AG15*G15+G16*AG16+AG17*G17+G18*AG18+G19*AG19)/100</f>
        <v>10984.919599999999</v>
      </c>
      <c r="AH23" s="23">
        <f>(AH3*G3+G4*AH4+AH5*G5+G6*AH6+G7*AH7+G8*AH8+G9*AH9+G10*AH10+G11*AH11+G12*AH12+G14*AH14+AH15*G15+G16*AH16+AH17*G17+G18*AH18+G19*AH19)/100</f>
        <v>10941.909599999999</v>
      </c>
      <c r="AI23" s="23">
        <f>(AI3*G3+G4*AI4+AI5*G5+G6*AI6+G7*AI7+G8*AI8+G9*AI9+G10*AI10+G11*AI11+G12*AI12+G14*AI14+AI15*G15+G16*AI16+AI17*G17+G18*AI18+G19*AI19)/100</f>
        <v>10620.49</v>
      </c>
      <c r="AJ23" s="23">
        <f>(AJ3*G3+G4*AJ4+AJ5*G5+G6*AJ6+G7*AJ7+G8*AJ8+G9*AJ9+G10*AJ10+G11*AJ11+G12*AJ12+G14*AJ14+AJ15*G15+G16*AJ16+AJ17*G17+G18*AJ18+G19*AJ19)/100</f>
        <v>10585.649599999999</v>
      </c>
      <c r="AK23" s="23">
        <f>(AK3*G3+G4*AK4+AK5*G5+G6*AK6+G7*AK7+G8*AK8+G9*AK9+G10*AK10+G11*AK11+G12*AK12+G14*AK14+AK15*G15+G16*AK16+AK17*G17+G18*AK18+G19*AK19)/100</f>
        <v>9494.6396000000004</v>
      </c>
      <c r="AL23" s="23">
        <f>(AL5*G5+G6*AL6+AL7*G7+G8*AL8+G9*AL9+G10*AL10+G11*AL11+G12*AL12+G14*AL14+G20*AL20+G15*AL15+AL16*G16+G17*AL17+AL18*G18+G19*AL19)/100</f>
        <v>8154.0495999999994</v>
      </c>
      <c r="AM23" s="23" t="e">
        <f>(AM5*G5+G7*AM7+AM8*G8+G9*AM9+#REF!*#REF!+G10*AM10+G11*AM11+G12*AM12+G14*AM14+G19*AM19+G20*AM20+AM6*G6+G15*AM15+#REF!*#REF!+G16*AM16+G17*AM17+AM18*G18+#REF!*#REF!+#REF!*#REF!+#REF!*#REF!+#REF!*#REF!+#REF!*#REF!+#REF!*#REF!+G3*AM3+#REF!*#REF!)/100</f>
        <v>#REF!</v>
      </c>
      <c r="AN23" s="23" t="e">
        <f>(AN5*G5+G7*AN7+AN8*G8+G9*AN9+#REF!*#REF!+G10*AN10+G11*AN11+G12*AN12+G14*AN14+G19*AN19+G20*AN20+AN6*G6+G15*AN15+#REF!*#REF!+G16*AN16+G17*AN17+AN18*G18+#REF!*#REF!+#REF!*#REF!+#REF!*#REF!+#REF!*#REF!+#REF!*#REF!+#REF!*#REF!+G3*AN3+#REF!*#REF!)/100</f>
        <v>#REF!</v>
      </c>
      <c r="AO23" s="23" t="e">
        <f>(AO5*G5+G7*AO7+AO8*G8+G9*AO9+#REF!*#REF!+G10*AO10+G11*AO11+G12*AO12+G14*AO14+G19*AO19+G20*AO20+AO6*G6+G15*AO15+#REF!*#REF!+G16*AO16+G17*AO17+AO18*G18+#REF!*#REF!+#REF!*#REF!+#REF!*#REF!+#REF!*#REF!+#REF!*#REF!+#REF!*#REF!+G3*AO3+#REF!*#REF!)/100</f>
        <v>#REF!</v>
      </c>
      <c r="AP23" s="23" t="e">
        <f>(AP5*G5+G7*AP7+AP8*G8+G9*AP9+#REF!*#REF!+G10*AP10+G11*AP11+G12*AP12+G14*AP14+G19*AP19+G20*AP20+AP6*G6+G15*AP15+#REF!*#REF!+G16*AP16+G18*AP18+#REF!*#REF!+#REF!*#REF!+#REF!*#REF!+#REF!*#REF!+#REF!*#REF!+#REF!*#REF!+G3*AP3+#REF!*#REF!+G4*AP4)/100</f>
        <v>#REF!</v>
      </c>
      <c r="AQ23" s="23" t="e">
        <f>(#REF!*#REF!+#REF!*#REF!+AQ3*G3+#REF!*#REF!+G4*AQ4+G5*AQ5+G7*AQ7+G8*AQ8+G9*AQ9+#REF!*#REF!+G10*AQ10+AQ11*G11+G12*AQ12+AQ14*G14+#REF!*#REF!+#REF!*#REF!+#REF!*#REF!+#REF!*#REF!+G20*AQ20+AQ6*G6+#REF!*#REF!+G16*AQ16+G18*AQ18+G19*AQ19)/100</f>
        <v>#REF!</v>
      </c>
      <c r="AR23" s="23" t="e">
        <f>(#REF!*#REF!+#REF!*#REF!+AR3*G3+#REF!*#REF!+G4*AR4+G5*AR5+G7*AR7+G8*AR8+G9*AR9+#REF!*#REF!+G10*AR10+AR11*G11+G12*AR12+AR14*G14+#REF!*#REF!+#REF!*#REF!+#REF!*#REF!+#REF!*#REF!+G20*AR20+AR6*G6+#REF!*#REF!+G16*AR16+G18*AR18+G19*AR19)/100</f>
        <v>#REF!</v>
      </c>
      <c r="AS23" s="23" t="e">
        <f>(#REF!*#REF!+#REF!*#REF!+AS3*G3+#REF!*#REF!+G4*AS4+G5*AS5+AS7*G7+AS8*G8+AS9*G9+#REF!*#REF!+G10*AS10+AS11*G11+G12*AS12+AS14*G14+#REF!*#REF!+#REF!*#REF!+#REF!*#REF!+#REF!*#REF!+G20*AS20+G6*AS6+#REF!*#REF!+G16*AS16+G18*AS18)/100</f>
        <v>#REF!</v>
      </c>
      <c r="AT23" s="23" t="e">
        <f>(#REF!*#REF!+#REF!*#REF!+AT3*G3+#REF!*#REF!+G4*AT4+G5*AT5+AT7*G7+AT8*G8+AT9*G9+#REF!*#REF!+G10*AT10+AT11*G11+G12*AT12+AT14*G14+#REF!*#REF!+#REF!*#REF!+#REF!*#REF!+#REF!*#REF!+G20*AT20+G6*AT6+#REF!*#REF!+G16*AT16+G18*AT18)/100</f>
        <v>#REF!</v>
      </c>
      <c r="AU23" s="23" t="e">
        <f>(#REF!*#REF!+#REF!*#REF!+AU3*G3+#REF!*#REF!+G4*AU4+G8*AU8+AU9*G9+#REF!*#REF!+AU10*G10+G11*AU11+G14*AU14+#REF!*#REF!+#REF!*#REF!+#REF!*#REF!+#REF!*#REF!+G6*AU6+#REF!*#REF!+G16*AU16+G18*AU18+G7*AU7+G5*AU5+G12*AU12+G20*AU20)/100</f>
        <v>#REF!</v>
      </c>
      <c r="AV23" s="23" t="e">
        <f>(#REF!*#REF!+#REF!*#REF!+AV3*G3+#REF!*#REF!+G4*AV4+G8*AV8+AV9*G9+#REF!*#REF!+AV10*G10+G11*AV11+G14*AV14+#REF!*#REF!+#REF!*#REF!+#REF!*#REF!+#REF!*#REF!+G6*AV6+#REF!*#REF!+G16*AV16+G18*AV18)/100</f>
        <v>#REF!</v>
      </c>
      <c r="AW23" s="23" t="e">
        <f>(#REF!*#REF!+#REF!*#REF!+AW3*G3+#REF!*#REF!+G4*AW4+G8*AW8+G9*AW9+#REF!*#REF!+G10*AW10+AW11*G11+AW14*G14+#REF!*#REF!+#REF!*#REF!+#REF!*#REF!+#REF!*#REF!+AW6*G6+#REF!*#REF!+G16*AW16+G18*AW18+G19*AW19)/100</f>
        <v>#REF!</v>
      </c>
      <c r="AX23" s="23" t="e">
        <f>(#REF!*#REF!+#REF!*#REF!+AX3*G3+#REF!*#REF!+G4*AX4+G8*AX8+AX9*G9+#REF!*#REF!+AX10*G10+G11*AX11+G14*AX14+#REF!*#REF!+#REF!*#REF!+#REF!*#REF!+#REF!*#REF!+G6*AX6+#REF!*#REF!+G16*AX16+G18*AX18)/100</f>
        <v>#REF!</v>
      </c>
      <c r="AY23" s="23" t="e">
        <f>(#REF!*#REF!+#REF!*#REF!+AY3*G3+#REF!*#REF!+G4*AY4+G8*AY8+AY9*G9+#REF!*#REF!+AY10*G10+G11*AY11+G14*AY14+#REF!*#REF!+#REF!*#REF!+#REF!*#REF!+#REF!*#REF!+G6*AY6+#REF!*#REF!+G16*AY16+G18*AY18)/100</f>
        <v>#REF!</v>
      </c>
      <c r="AZ23" s="23" t="e">
        <f>(#REF!*#REF!+#REF!*#REF!+AZ3*G3+#REF!*#REF!+G4*AZ4+G8*AZ8+AZ9*G9+AZ10*G10+AZ11*G11+G14*AZ14+#REF!*#REF!+#REF!*#REF!+#REF!*#REF!+#REF!*#REF!+G6*AZ6+#REF!*#REF!+G16*AZ16+G18*AZ18+G19*AZ19)/100</f>
        <v>#REF!</v>
      </c>
      <c r="BA23" s="23" t="e">
        <f>(#REF!*#REF!+#REF!*#REF!+BA3*G3+#REF!*#REF!+G4*BA4+G8*BA8+BA9*G9+BA10*G10+BA11*G11+G14*BA14+#REF!*#REF!+#REF!*#REF!+#REF!*#REF!+#REF!*#REF!+G6*BA6+#REF!*#REF!+G16*BA16+G18*BA18+G19*BA19)/100</f>
        <v>#REF!</v>
      </c>
      <c r="BB23" s="23" t="e">
        <f>(#REF!*#REF!+#REF!*#REF!+BB3*G3+#REF!*#REF!+G4*BB4+G8*BB8+BB9*G9+BB10*G10+BB11*G11+G14*BB14+#REF!*#REF!+#REF!*#REF!+#REF!*#REF!+#REF!*#REF!+G6*BB6+#REF!*#REF!+G16*BB16+G18*BB18+G19*BB19)/100</f>
        <v>#REF!</v>
      </c>
      <c r="BC23" s="23" t="e">
        <f>(#REF!*#REF!+#REF!*#REF!+BC3*G3+#REF!*#REF!+G4*BC4+G8*BC8+BC9*G9+BC10*G10+BC11*G11+G14*BC14+#REF!*#REF!+#REF!*#REF!+#REF!*#REF!+#REF!*#REF!+G6*BC6+#REF!*#REF!+G16*BC16+G18*BC18+G19*BC19)/100</f>
        <v>#REF!</v>
      </c>
      <c r="BD23" s="23" t="e">
        <f>(#REF!*#REF!+#REF!*#REF!+BD3*G3+#REF!*#REF!+G4*BD4+G8*BD8+BD9*G9+BD10*G10+BD11*G11+G14*BD14+#REF!*#REF!+#REF!*#REF!+#REF!*#REF!+#REF!*#REF!+G6*BD6+#REF!*#REF!+G16*BD16+G18*BD18+G19*BD19)/100</f>
        <v>#REF!</v>
      </c>
      <c r="BE23" s="23" t="e">
        <f>(#REF!*#REF!+#REF!*#REF!+BE3*G3+#REF!*#REF!+G4*BE4+G8*BE8+BE9*G9+BE10*G10+BE11*G11+G14*BE14+#REF!*#REF!+#REF!*#REF!+#REF!*#REF!+#REF!*#REF!+G6*BE6+#REF!*#REF!+G16*BE16+G18*BE18)/100</f>
        <v>#REF!</v>
      </c>
      <c r="BF23" s="23" t="e">
        <f>(#REF!*#REF!+#REF!*#REF!+BF3*G3+#REF!*#REF!+G4*BF4+G8*BF8+BF10*G10+BF11*G11+G14*BF14+#REF!*#REF!+#REF!*#REF!+#REF!*#REF!+#REF!*#REF!+G6*BF6+#REF!*#REF!+G16*BF16+G18*BF18)/100</f>
        <v>#REF!</v>
      </c>
      <c r="BG23" s="23" t="e">
        <f>(#REF!*#REF!+#REF!*#REF!+BG3*G3+#REF!*#REF!+G4*BG4+G8*BG8+G10*BG10+BG11*G11+BG14*G14+#REF!*#REF!+#REF!*#REF!+#REF!*#REF!+#REF!*#REF!+BG6*G6+#REF!*#REF!+G16*BG16+G18*BG18+G19*BG19)/100</f>
        <v>#REF!</v>
      </c>
      <c r="BH23" s="23" t="e">
        <f>(#REF!*#REF!+#REF!*#REF!+BH3*G3+#REF!*#REF!+G4*BH4+G10*BH10+BH11*G11+BH14*G14+#REF!*#REF!+#REF!*#REF!+#REF!*#REF!+#REF!*#REF!+BH6*G6+#REF!*#REF!+G16*BH16+G18*BH18+G19*BH19)/100</f>
        <v>#REF!</v>
      </c>
      <c r="BI23" s="23" t="e">
        <f>(#REF!*#REF!+#REF!*#REF!+BI3*G3+#REF!*#REF!+G4*BI4+G10*BI10+BI11*G11+BI14*G14+#REF!*#REF!+#REF!*#REF!+#REF!*#REF!+#REF!*#REF!+BI6*G6+#REF!*#REF!+G16*BI16+G18*BI18+G19*BI19)/100</f>
        <v>#REF!</v>
      </c>
      <c r="BJ23" s="23" t="e">
        <f>(#REF!*#REF!+#REF!*#REF!+BJ3*G3+#REF!*#REF!+G4*BJ4+G10*BJ10+BJ11*G11+BJ14*G14+#REF!*#REF!+#REF!*#REF!+#REF!*#REF!+#REF!*#REF!+BJ6*G6+#REF!*#REF!+G16*BJ16+G18*BJ18+G19*BJ19)/100</f>
        <v>#REF!</v>
      </c>
      <c r="BK23" s="23" t="e">
        <f>(#REF!*#REF!+#REF!*#REF!+BK3*G3+#REF!*#REF!+G4*BK4+G10*BK10+BK11*G11+BK14*G14+#REF!*#REF!+#REF!*#REF!+#REF!*#REF!+#REF!*#REF!+BK6*G6+G16*BK16+G18*BK18+G19*BK19)/100</f>
        <v>#REF!</v>
      </c>
      <c r="BL23" s="23" t="e">
        <f>(#REF!*#REF!+#REF!*#REF!+BL3*G3+#REF!*#REF!+G4*BL4+G10*BL10+BL11*G11+BL14*G14+#REF!*#REF!+#REF!*#REF!+#REF!*#REF!+#REF!*#REF!+BL6*G6+G16*BL16+G18*BL18+G19*BL19)/100</f>
        <v>#REF!</v>
      </c>
      <c r="BM23" s="23" t="e">
        <f>(#REF!*#REF!+#REF!*#REF!+BM3*G3+#REF!*#REF!+G4*BM4+G10*BM10+BM11*G11+BM14*G14+#REF!*#REF!+#REF!*#REF!+#REF!*#REF!+#REF!*#REF!+BM6*G6+G16*BM16+G18*BM18+G19*BM19)/100</f>
        <v>#REF!</v>
      </c>
      <c r="BN23" s="23" t="e">
        <f>(#REF!*#REF!+#REF!*#REF!+BN3*G3+#REF!*#REF!+G4*BN4+G10*BN10+BN11*G11+BN14*G14+#REF!*#REF!+#REF!*#REF!+#REF!*#REF!+#REF!*#REF!+BN6*G6+G16*BN16+G18*BN18+G19*BN19)/100</f>
        <v>#REF!</v>
      </c>
      <c r="BO23" s="23" t="e">
        <f>(#REF!*#REF!+#REF!*#REF!+BO3*G3+#REF!*#REF!+G4*BO4+G10*BO10+BO11*G11+BO14*G14+#REF!*#REF!+#REF!*#REF!+#REF!*#REF!+#REF!*#REF!+BO6*G6+G16*BO16+G18*BO18+G19*BO19)/100</f>
        <v>#REF!</v>
      </c>
      <c r="BP23" s="23" t="e">
        <f>(#REF!*#REF!+#REF!*#REF!+BP3*G3+#REF!*#REF!+G4*BP4+G10*BP10+BP11*G11+BP14*G14+#REF!*#REF!+#REF!*#REF!+#REF!*#REF!+#REF!*#REF!+BP6*G6+G16*BP16+G18*BP18+G19*BP19)/100</f>
        <v>#REF!</v>
      </c>
      <c r="BQ23" s="23" t="e">
        <f>(#REF!*#REF!+#REF!*#REF!+BQ3*G3+#REF!*#REF!+G4*BQ4+G10*BQ10+BQ11*G11+BQ14*G14+#REF!*#REF!+#REF!*#REF!+#REF!*#REF!+#REF!*#REF!+BQ6*G6+G16*BQ16+G18*BQ18+G19*BQ19)/100</f>
        <v>#REF!</v>
      </c>
      <c r="BR23" s="23" t="e">
        <f>(#REF!*#REF!+#REF!*#REF!+BR3*G3+#REF!*#REF!+G4*BR4+G10*BR10+G11*BR11+G14*BR14+#REF!*#REF!+#REF!*#REF!+#REF!*#REF!+#REF!*#REF!+G6*BR6+BR16*G16+G18*BR18+G19*BR19)/100</f>
        <v>#REF!</v>
      </c>
      <c r="BS23" s="23" t="e">
        <f>(#REF!*#REF!+#REF!*#REF!+BS3*G3+#REF!*#REF!+G4*BS4+G10*BS10+G14*BS14+#REF!*#REF!+#REF!*#REF!+#REF!*#REF!+#REF!*#REF!+G6*BS6+BS16*G16+G18*BS18+G19*BS19)/100</f>
        <v>#REF!</v>
      </c>
      <c r="BT23" s="23" t="e">
        <f>(#REF!*#REF!+BT3*G3+G4*BT4+G14*BT14+#REF!*#REF!+#REF!*#REF!+#REF!*#REF!+#REF!*#REF!+G6*BT6+BT16*G16+G18*BT18+G19*BT19+G22*BT22+#REF!*#REF!+#REF!*#REF!)/100</f>
        <v>#REF!</v>
      </c>
      <c r="BU23" s="23" t="e">
        <f>(#REF!*#REF!+BU3*G3+G4*BU4+G14*BU14+#REF!*#REF!+#REF!*#REF!+#REF!*#REF!+#REF!*#REF!+G6*BU6+BU16*G16+G18*BU18+G19*BU19+G22*BU22+#REF!*#REF!+#REF!*#REF!)/100</f>
        <v>#REF!</v>
      </c>
      <c r="BV23" s="23" t="e">
        <f>(#REF!*#REF!+BV3*G3+G4*BV4+G14*BV14+#REF!*#REF!+#REF!*#REF!+#REF!*#REF!+#REF!*#REF!+G6*BV6+BV16*G16+G18*BV18+G19*BV19+G22*BV22+#REF!*#REF!+#REF!*#REF!)/100</f>
        <v>#REF!</v>
      </c>
      <c r="BW23" s="30" t="e">
        <f>(#REF!*#REF!+BW3*G3+G4*BW4+G14*BW14+#REF!*#REF!+#REF!*#REF!+#REF!*#REF!+#REF!*#REF!+G6*BW6+BW16*G16+G18*BW18+G19*BW19+G22*BW22+#REF!*#REF!+#REF!*#REF!)/100</f>
        <v>#REF!</v>
      </c>
      <c r="BX23" s="23" t="e">
        <f>(#REF!*#REF!+BX3*G3+G4*BX4+G14*BX14+#REF!*#REF!+#REF!*#REF!+#REF!*#REF!+#REF!*#REF!+G6*BX6+BX16*G16+G18*BX18+G19*BX19+G22*BX22+#REF!*#REF!+#REF!*#REF!)/100</f>
        <v>#REF!</v>
      </c>
      <c r="BY23" s="23" t="e">
        <f>(#REF!*#REF!+BY3*G3+G14*BY14+#REF!*#REF!+#REF!*#REF!+#REF!*#REF!+#REF!*#REF!+G6*BY6+BY16*G16+G18*BY18+G19*BY19+G22*BY22+#REF!*#REF!+#REF!*#REF!)/100</f>
        <v>#REF!</v>
      </c>
      <c r="BZ23" s="23" t="e">
        <f>(#REF!*#REF!+BZ3*G3+G14*BZ14+#REF!*#REF!+#REF!*#REF!+#REF!*#REF!+#REF!*#REF!+G6*BZ6+BZ16*G16+G18*BZ18+G19*BZ19+G22*BZ22+#REF!*#REF!+#REF!*#REF!)/100</f>
        <v>#REF!</v>
      </c>
      <c r="CA23" s="23" t="e">
        <f>(#REF!*#REF!+CA3*G3+G14*CA14+#REF!*#REF!+#REF!*#REF!+#REF!*#REF!+#REF!*#REF!+G6*CA6+CA16*G16+G18*CA18+G19*CA19+G22*CA22+#REF!*#REF!+#REF!*#REF!)/100</f>
        <v>#REF!</v>
      </c>
      <c r="CB23" s="13"/>
      <c r="CC23" s="13"/>
      <c r="CD23" s="13"/>
      <c r="CG23" s="15">
        <f>1348.18-62.17+215.5</f>
        <v>1501.51</v>
      </c>
    </row>
    <row r="24" spans="1:85" ht="44.25" customHeight="1" thickBot="1" x14ac:dyDescent="0.3">
      <c r="A24" s="2"/>
      <c r="B24" s="2"/>
      <c r="C24" s="2"/>
      <c r="D24" s="2"/>
      <c r="E24" s="2"/>
      <c r="F24" s="2"/>
      <c r="G24" s="27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23">
        <f>SUM(CB2:CB20)</f>
        <v>12363.889900000002</v>
      </c>
      <c r="CC24" s="23">
        <f>SUM(CC2:CC20)</f>
        <v>12363.889900000002</v>
      </c>
      <c r="CD24" s="24">
        <f>CC24-CB24</f>
        <v>0</v>
      </c>
      <c r="CG24" s="15">
        <f>SUM(CG2:CG20)</f>
        <v>0</v>
      </c>
    </row>
    <row r="25" spans="1:85" x14ac:dyDescent="0.25">
      <c r="CB25" s="15">
        <v>12034.32</v>
      </c>
    </row>
  </sheetData>
  <phoneticPr fontId="10" type="noConversion"/>
  <conditionalFormatting sqref="D2:D13">
    <cfRule type="expression" dxfId="11" priority="559">
      <formula>D2:D45="למכור בהפסד"</formula>
    </cfRule>
    <cfRule type="expression" dxfId="10" priority="560">
      <formula>D2:D45="לשמור"</formula>
    </cfRule>
    <cfRule type="expression" dxfId="9" priority="561">
      <formula>D2:D45="למכור ברווח"</formula>
    </cfRule>
  </conditionalFormatting>
  <conditionalFormatting sqref="D14:D19">
    <cfRule type="expression" dxfId="8" priority="553">
      <formula>D14:D56="למכור בהפסד"</formula>
    </cfRule>
    <cfRule type="expression" dxfId="7" priority="554">
      <formula>D14:D56="לשמור"</formula>
    </cfRule>
    <cfRule type="expression" dxfId="6" priority="555">
      <formula>D14:D56="למכור ברווח"</formula>
    </cfRule>
  </conditionalFormatting>
  <conditionalFormatting sqref="D20">
    <cfRule type="expression" dxfId="5" priority="556">
      <formula>D15:D31="למכור בהפסד"</formula>
    </cfRule>
    <cfRule type="expression" dxfId="4" priority="557">
      <formula>D15:D31="לשמור"</formula>
    </cfRule>
    <cfRule type="expression" dxfId="3" priority="558">
      <formula>D15:D31="למכור ברווח"</formula>
    </cfRule>
  </conditionalFormatting>
  <conditionalFormatting sqref="D22">
    <cfRule type="expression" dxfId="2" priority="550">
      <formula>D22:D30="למכור בהפסד"</formula>
    </cfRule>
    <cfRule type="expression" dxfId="1" priority="551">
      <formula>D22:D30="לשמור"</formula>
    </cfRule>
    <cfRule type="expression" dxfId="0" priority="552">
      <formula>D22:D30="למכור ברווח"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CD697-7590-4F64-9E15-0FA62A69A078}">
  <dimension ref="A1:M28"/>
  <sheetViews>
    <sheetView topLeftCell="A7" zoomScale="85" zoomScaleNormal="85" workbookViewId="0">
      <selection activeCell="E10" sqref="E10"/>
    </sheetView>
  </sheetViews>
  <sheetFormatPr defaultRowHeight="15" x14ac:dyDescent="0.25"/>
  <cols>
    <col min="1" max="1" width="17.5703125" customWidth="1"/>
    <col min="2" max="2" width="17.5703125" style="20" customWidth="1"/>
    <col min="3" max="7" width="17.5703125" customWidth="1"/>
    <col min="9" max="9" width="17.5703125" customWidth="1"/>
    <col min="10" max="10" width="9.5703125" customWidth="1"/>
    <col min="12" max="13" width="17.5703125" style="20" customWidth="1"/>
  </cols>
  <sheetData>
    <row r="1" spans="1:13" ht="54.95" customHeight="1" thickBot="1" x14ac:dyDescent="0.3">
      <c r="A1" s="17" t="s">
        <v>10</v>
      </c>
      <c r="B1" s="22" t="s">
        <v>11</v>
      </c>
      <c r="C1" s="17" t="s">
        <v>12</v>
      </c>
      <c r="D1" s="17" t="s">
        <v>13</v>
      </c>
      <c r="E1" s="17" t="s">
        <v>14</v>
      </c>
      <c r="F1" s="17" t="s">
        <v>15</v>
      </c>
      <c r="G1" s="17" t="s">
        <v>16</v>
      </c>
      <c r="I1" s="6" t="s">
        <v>6</v>
      </c>
      <c r="J1" s="25"/>
      <c r="L1" s="17" t="s">
        <v>25</v>
      </c>
      <c r="M1" s="17" t="s">
        <v>26</v>
      </c>
    </row>
    <row r="2" spans="1:13" ht="54.95" customHeight="1" thickBot="1" x14ac:dyDescent="0.3">
      <c r="A2" s="17" t="str">
        <f>'התיק העדכני'!E2</f>
        <v>אייראנג'י טק</v>
      </c>
      <c r="B2" s="17">
        <f>'התיק העדכני'!A2</f>
        <v>1105907</v>
      </c>
      <c r="C2" s="18">
        <f>'התיק העדכני'!H2</f>
        <v>774.5</v>
      </c>
      <c r="D2" s="19">
        <f>'התיק העדכני'!G2</f>
        <v>0</v>
      </c>
      <c r="E2" s="17">
        <v>770</v>
      </c>
      <c r="F2" s="17">
        <v>980</v>
      </c>
      <c r="G2" s="17"/>
      <c r="I2" s="13">
        <f>'התיק העדכני'!I2</f>
        <v>935</v>
      </c>
      <c r="J2" s="25"/>
      <c r="L2" s="21">
        <f>(E2+CHATGPT!E2+PERPLIXITY!E2+DEEPSEEK!E2)/4</f>
        <v>742.75</v>
      </c>
      <c r="M2" s="21">
        <f>(F2+CHATGPT!F2+PERPLIXITY!F2+DEEPSEEK!F2)/4</f>
        <v>916</v>
      </c>
    </row>
    <row r="3" spans="1:13" ht="54.95" customHeight="1" thickBot="1" x14ac:dyDescent="0.3">
      <c r="A3" s="17" t="str">
        <f>'התיק העדכני'!E3</f>
        <v>אירודרום קבוצה</v>
      </c>
      <c r="B3" s="17">
        <f>'התיק העדכני'!A3</f>
        <v>363010</v>
      </c>
      <c r="C3" s="18">
        <f>'התיק העדכני'!H3</f>
        <v>74.900000000000006</v>
      </c>
      <c r="D3" s="19">
        <f>'התיק העדכני'!G3</f>
        <v>600</v>
      </c>
      <c r="E3" s="16"/>
      <c r="F3" s="16">
        <v>110</v>
      </c>
      <c r="G3" s="17"/>
      <c r="I3" s="13">
        <f>'התיק העדכני'!I3</f>
        <v>73.7</v>
      </c>
      <c r="J3" s="26"/>
      <c r="L3" s="21">
        <f>(E3+CHATGPT!E3+PERPLIXITY!E3+DEEPSEEK!E3)/4</f>
        <v>53</v>
      </c>
      <c r="M3" s="21">
        <f>(F3+CHATGPT!F3+PERPLIXITY!F3+DEEPSEEK!F3)/4</f>
        <v>96.75</v>
      </c>
    </row>
    <row r="4" spans="1:13" ht="54.95" customHeight="1" thickBot="1" x14ac:dyDescent="0.3">
      <c r="A4" s="17" t="str">
        <f>'התיק העדכני'!E4</f>
        <v>ארית תעשיות</v>
      </c>
      <c r="B4" s="17">
        <f>'התיק העדכני'!A4</f>
        <v>587014</v>
      </c>
      <c r="C4" s="18">
        <f>'התיק העדכני'!H4</f>
        <v>5925</v>
      </c>
      <c r="D4" s="19">
        <f>'התיק העדכני'!G4</f>
        <v>20</v>
      </c>
      <c r="E4" s="16">
        <v>5950</v>
      </c>
      <c r="F4" s="16">
        <v>6800</v>
      </c>
      <c r="G4" s="17"/>
      <c r="I4" s="13">
        <f>'התיק העדכני'!I4</f>
        <v>6055</v>
      </c>
      <c r="J4" s="26"/>
      <c r="L4" s="21">
        <f>(E4+CHATGPT!E4+PERPLIXITY!E4+DEEPSEEK!E4)/4</f>
        <v>5855</v>
      </c>
      <c r="M4" s="21">
        <f>(F4+CHATGPT!F4+PERPLIXITY!F4+DEEPSEEK!F4)/4</f>
        <v>7050</v>
      </c>
    </row>
    <row r="5" spans="1:13" ht="54.95" customHeight="1" thickBot="1" x14ac:dyDescent="0.3">
      <c r="A5" s="17" t="str">
        <f>'התיק העדכני'!E5</f>
        <v>ג'ין טכנולוגיות</v>
      </c>
      <c r="B5" s="17">
        <f>'התיק העדכני'!A5</f>
        <v>1099787</v>
      </c>
      <c r="C5" s="18">
        <f>'התיק העדכני'!H5</f>
        <v>620</v>
      </c>
      <c r="D5" s="19">
        <f>'התיק העדכני'!G5</f>
        <v>0</v>
      </c>
      <c r="E5" s="16">
        <v>618</v>
      </c>
      <c r="F5" s="16">
        <v>780</v>
      </c>
      <c r="I5" s="13">
        <f>'התיק העדכני'!I5</f>
        <v>510.2</v>
      </c>
      <c r="J5" s="26"/>
      <c r="L5" s="21">
        <f>(E5+CHATGPT!E5+PERPLIXITY!E5+DEEPSEEK!E5)/4</f>
        <v>598.25</v>
      </c>
      <c r="M5" s="21">
        <f>(F5+CHATGPT!F5+PERPLIXITY!F5+DEEPSEEK!F5)/4</f>
        <v>741.25</v>
      </c>
    </row>
    <row r="6" spans="1:13" ht="54.95" customHeight="1" thickBot="1" x14ac:dyDescent="0.3">
      <c r="A6" s="17" t="str">
        <f>'התיק העדכני'!E6</f>
        <v>דוראל אנרגיה</v>
      </c>
      <c r="B6" s="17">
        <f>'התיק העדכני'!A6</f>
        <v>1166768</v>
      </c>
      <c r="C6" s="18">
        <f>'התיק העדכני'!H6</f>
        <v>4264.16</v>
      </c>
      <c r="D6" s="19">
        <f>'התיק העדכני'!G6</f>
        <v>30</v>
      </c>
      <c r="E6" s="16">
        <v>4620</v>
      </c>
      <c r="F6" s="16">
        <v>5400</v>
      </c>
      <c r="I6" s="13">
        <f>'התיק העדכני'!I6</f>
        <v>6221</v>
      </c>
      <c r="J6" s="26"/>
      <c r="L6" s="21">
        <f>(E6+CHATGPT!E6+PERPLIXITY!E6+DEEPSEEK!E6)/4</f>
        <v>4425</v>
      </c>
      <c r="M6" s="21">
        <f>(F6+CHATGPT!F6+PERPLIXITY!F6+DEEPSEEK!F6)/4</f>
        <v>5480</v>
      </c>
    </row>
    <row r="7" spans="1:13" ht="54.95" customHeight="1" thickBot="1" x14ac:dyDescent="0.3">
      <c r="A7" s="17" t="str">
        <f>'התיק העדכני'!E7</f>
        <v>הראל סל ת"א 125</v>
      </c>
      <c r="B7" s="17">
        <f>'התיק העדכני'!A7</f>
        <v>1148899</v>
      </c>
      <c r="C7" s="18">
        <f>'התיק העדכני'!H7</f>
        <v>3585</v>
      </c>
      <c r="D7" s="19">
        <f>'התיק העדכני'!G7</f>
        <v>70</v>
      </c>
      <c r="E7" s="16">
        <v>3750</v>
      </c>
      <c r="F7" s="16">
        <v>4300</v>
      </c>
      <c r="G7" s="18"/>
      <c r="I7" s="13">
        <f>'התיק העדכני'!I7</f>
        <v>4109</v>
      </c>
      <c r="J7" s="26"/>
      <c r="L7" s="21">
        <f>(E7+CHATGPT!E7+PERPLIXITY!E7+DEEPSEEK!E7)/4</f>
        <v>3737.5</v>
      </c>
      <c r="M7" s="21">
        <f>(F7+CHATGPT!F7+PERPLIXITY!F7+DEEPSEEK!F7)/4</f>
        <v>4350</v>
      </c>
    </row>
    <row r="8" spans="1:13" ht="54.95" customHeight="1" thickBot="1" x14ac:dyDescent="0.3">
      <c r="A8" s="17" t="str">
        <f>'התיק העדכני'!E8</f>
        <v>טאואר</v>
      </c>
      <c r="B8" s="17">
        <f>'התיק העדכני'!A8</f>
        <v>1082379</v>
      </c>
      <c r="C8" s="18">
        <f>'התיק העדכני'!H8</f>
        <v>39632.5</v>
      </c>
      <c r="D8" s="19">
        <f>'התיק העדכני'!G8</f>
        <v>4</v>
      </c>
      <c r="E8" s="16">
        <v>43000</v>
      </c>
      <c r="F8" s="16">
        <v>52000</v>
      </c>
      <c r="G8" s="18"/>
      <c r="I8" s="13">
        <f>'התיק העדכני'!I8</f>
        <v>40940</v>
      </c>
      <c r="L8" s="21">
        <f>(E8+CHATGPT!E8+PERPLIXITY!E8+DEEPSEEK!E8)/4</f>
        <v>41525</v>
      </c>
      <c r="M8" s="21">
        <f>(F8+CHATGPT!F8+PERPLIXITY!F8+DEEPSEEK!F8)/4</f>
        <v>48125</v>
      </c>
    </row>
    <row r="9" spans="1:13" ht="54.95" customHeight="1" thickBot="1" x14ac:dyDescent="0.3">
      <c r="A9" s="17" t="str">
        <f>'התיק העדכני'!E9</f>
        <v>משק אנרגיה</v>
      </c>
      <c r="B9" s="17">
        <f>'התיק העדכני'!A9</f>
        <v>1166974</v>
      </c>
      <c r="C9" s="18">
        <f>'התיק העדכני'!H9</f>
        <v>901.87</v>
      </c>
      <c r="D9" s="19">
        <f>'התיק העדכני'!G9</f>
        <v>80</v>
      </c>
      <c r="E9" s="16">
        <v>910</v>
      </c>
      <c r="F9" s="16">
        <v>1100</v>
      </c>
      <c r="G9" s="17"/>
      <c r="I9" s="13">
        <f>'התיק העדכני'!I9</f>
        <v>1037</v>
      </c>
      <c r="L9" s="21">
        <f>(E9+CHATGPT!E9+PERPLIXITY!E9+DEEPSEEK!E9)/4</f>
        <v>981.25</v>
      </c>
      <c r="M9" s="21">
        <f>(F9+CHATGPT!F9+PERPLIXITY!F9+DEEPSEEK!F9)/4</f>
        <v>1245</v>
      </c>
    </row>
    <row r="10" spans="1:13" ht="54.95" customHeight="1" thickBot="1" x14ac:dyDescent="0.3">
      <c r="A10" s="17" t="str">
        <f>'התיק העדכני'!E10</f>
        <v>סטורג' דרופ</v>
      </c>
      <c r="B10" s="17">
        <f>'התיק העדכני'!A10</f>
        <v>1122654</v>
      </c>
      <c r="C10" s="18">
        <f>'התיק העדכני'!H10</f>
        <v>93.13</v>
      </c>
      <c r="D10" s="19">
        <f>'התיק העדכני'!G10</f>
        <v>300</v>
      </c>
      <c r="E10" s="16">
        <v>65</v>
      </c>
      <c r="F10" s="16">
        <v>110</v>
      </c>
      <c r="G10" s="18"/>
      <c r="I10" s="13">
        <f>'התיק העדכני'!I10</f>
        <v>72.400000000000006</v>
      </c>
      <c r="L10" s="21">
        <f>(E10+CHATGPT!E10+PERPLIXITY!E10+DEEPSEEK!E10)/4</f>
        <v>63.5</v>
      </c>
      <c r="M10" s="21">
        <f>(F10+CHATGPT!F10+PERPLIXITY!F10+DEEPSEEK!F10)/4</f>
        <v>93.25</v>
      </c>
    </row>
    <row r="11" spans="1:13" ht="54.95" customHeight="1" thickBot="1" x14ac:dyDescent="0.3">
      <c r="A11" s="17" t="str">
        <f>'התיק העדכני'!E11</f>
        <v>פועלים</v>
      </c>
      <c r="B11" s="17">
        <f>'התיק העדכני'!A11</f>
        <v>662577</v>
      </c>
      <c r="C11" s="18">
        <f>'התיק העדכני'!H11</f>
        <v>7204.22</v>
      </c>
      <c r="D11" s="19">
        <f>'התיק העדכני'!G11</f>
        <v>9</v>
      </c>
      <c r="E11" s="16">
        <v>7950</v>
      </c>
      <c r="F11" s="16">
        <v>8800</v>
      </c>
      <c r="G11" s="18"/>
      <c r="I11" s="13">
        <f>'התיק העדכני'!I11</f>
        <v>8253</v>
      </c>
      <c r="L11" s="21">
        <f>(E11+CHATGPT!E11+PERPLIXITY!E11+DEEPSEEK!E11)/4</f>
        <v>7632.5</v>
      </c>
      <c r="M11" s="21">
        <f>(F11+CHATGPT!F11+PERPLIXITY!F11+DEEPSEEK!F11)/4</f>
        <v>8700</v>
      </c>
    </row>
    <row r="12" spans="1:13" ht="54.95" customHeight="1" thickBot="1" x14ac:dyDescent="0.3">
      <c r="A12" s="17" t="str">
        <f>'התיק העדכני'!E12</f>
        <v>ISHARES MSCI GLOBAL SILVER M</v>
      </c>
      <c r="B12" s="17">
        <f>'התיק העדכני'!A12</f>
        <v>5137534</v>
      </c>
      <c r="C12" s="18">
        <f>'התיק העדכני'!H12</f>
        <v>11598.87</v>
      </c>
      <c r="D12" s="19">
        <f>'התיק העדכני'!G12</f>
        <v>8</v>
      </c>
      <c r="E12" s="16">
        <v>12300</v>
      </c>
      <c r="F12" s="16">
        <v>14500</v>
      </c>
      <c r="G12" s="18"/>
      <c r="I12" s="13">
        <f>'התיק העדכני'!I12</f>
        <v>12726.62</v>
      </c>
      <c r="J12" s="26"/>
      <c r="L12" s="21">
        <f>(E12+CHATGPT!E12+PERPLIXITY!E12+DEEPSEEK!E12)/4</f>
        <v>12742.5</v>
      </c>
      <c r="M12" s="21">
        <f>(F12+CHATGPT!F12+PERPLIXITY!F12+DEEPSEEK!F12)/4</f>
        <v>15095</v>
      </c>
    </row>
    <row r="13" spans="1:13" ht="54.95" customHeight="1" thickBot="1" x14ac:dyDescent="0.3">
      <c r="A13" s="17" t="str">
        <f>'התיק העדכני'!E13</f>
        <v>MTF מחקה אינדקס תעשיה ישראל</v>
      </c>
      <c r="B13" s="17">
        <f>'התיק העדכני'!A13</f>
        <v>5135470</v>
      </c>
      <c r="C13" s="18">
        <f>'התיק העדכני'!H13</f>
        <v>197.23</v>
      </c>
      <c r="D13" s="19">
        <f>'התיק העדכני'!G13</f>
        <v>500</v>
      </c>
      <c r="E13" s="16">
        <v>212</v>
      </c>
      <c r="F13" s="16">
        <v>250</v>
      </c>
      <c r="G13" s="18"/>
      <c r="I13" s="13">
        <f>'התיק העדכני'!I13</f>
        <v>218.62</v>
      </c>
      <c r="J13" s="26"/>
      <c r="L13" s="21">
        <f>(E13+CHATGPT!E13+PERPLIXITY!E13+DEEPSEEK!E13)/4</f>
        <v>203.75</v>
      </c>
      <c r="M13" s="21">
        <f>(F13+CHATGPT!F13+PERPLIXITY!F13+DEEPSEEK!F13)/4</f>
        <v>243.25</v>
      </c>
    </row>
    <row r="14" spans="1:13" ht="54.95" customHeight="1" thickBot="1" x14ac:dyDescent="0.3">
      <c r="A14" s="17" t="str">
        <f>'התיק העדכני'!E14</f>
        <v>MTF מחקה אינדקס Global Metals &amp; Minerals producers מנוטרלת דולר</v>
      </c>
      <c r="B14" s="17">
        <f>'התיק העדכני'!A14</f>
        <v>5134135</v>
      </c>
      <c r="C14" s="18">
        <f>'התיק העדכני'!H14</f>
        <v>159.02000000000001</v>
      </c>
      <c r="D14" s="19">
        <f>'התיק העדכני'!G14</f>
        <v>600</v>
      </c>
      <c r="E14" s="16">
        <v>175</v>
      </c>
      <c r="F14" s="16">
        <v>210</v>
      </c>
      <c r="G14" s="17"/>
      <c r="I14" s="13">
        <f>'התיק העדכני'!I14</f>
        <v>188.1</v>
      </c>
      <c r="J14" s="26"/>
      <c r="L14" s="21">
        <f>(E14+CHATGPT!E14+PERPLIXITY!E14+DEEPSEEK!E14)/4</f>
        <v>170.5</v>
      </c>
      <c r="M14" s="21">
        <f>(F14+CHATGPT!F14+PERPLIXITY!F14+DEEPSEEK!F14)/4</f>
        <v>206</v>
      </c>
    </row>
    <row r="15" spans="1:13" ht="54.95" customHeight="1" thickBot="1" x14ac:dyDescent="0.3">
      <c r="A15" s="17" t="str">
        <f>'התיק העדכני'!E15</f>
        <v>MTF סל אינדקס אנרגיה מתחדשת</v>
      </c>
      <c r="B15" s="17">
        <f>'התיק העדכני'!A15</f>
        <v>1168723</v>
      </c>
      <c r="C15" s="18">
        <f>'התיק העדכני'!H15</f>
        <v>1523.63</v>
      </c>
      <c r="D15" s="19">
        <f>'התיק העדכני'!G15</f>
        <v>55</v>
      </c>
      <c r="E15" s="16">
        <v>1650</v>
      </c>
      <c r="F15" s="16">
        <v>2000</v>
      </c>
      <c r="G15" s="17"/>
      <c r="I15" s="13">
        <f>'התיק העדכני'!I15</f>
        <v>2033</v>
      </c>
      <c r="J15" s="26"/>
      <c r="L15" s="21">
        <f>(E15+CHATGPT!E15+PERPLIXITY!E15+DEEPSEEK!E15)/4</f>
        <v>1680.75</v>
      </c>
      <c r="M15" s="21">
        <f>(F15+CHATGPT!F15+PERPLIXITY!F15+DEEPSEEK!F15)/4</f>
        <v>2053.25</v>
      </c>
    </row>
    <row r="16" spans="1:13" ht="54.95" customHeight="1" thickBot="1" x14ac:dyDescent="0.3">
      <c r="A16" s="17">
        <f>'התיק העדכני'!E16</f>
        <v>0</v>
      </c>
      <c r="B16" s="17">
        <f>'התיק העדכני'!A16</f>
        <v>0</v>
      </c>
      <c r="C16" s="18">
        <f>'התיק העדכני'!H16</f>
        <v>0</v>
      </c>
      <c r="D16" s="19">
        <f>'התיק העדכני'!G16</f>
        <v>0</v>
      </c>
      <c r="E16" s="16"/>
      <c r="F16" s="16"/>
      <c r="G16" s="17"/>
      <c r="I16" s="13">
        <f>'התיק העדכני'!I16</f>
        <v>0</v>
      </c>
      <c r="J16" s="26"/>
      <c r="L16" s="21">
        <f>(E16+CHATGPT!E16+PERPLIXITY!E16+DEEPSEEK!E16)/4</f>
        <v>0</v>
      </c>
      <c r="M16" s="21">
        <f>(F16+CHATGPT!F16+PERPLIXITY!F16+DEEPSEEK!F16)/4</f>
        <v>0</v>
      </c>
    </row>
    <row r="17" spans="1:13" ht="54.95" customHeight="1" thickBot="1" x14ac:dyDescent="0.3">
      <c r="A17" s="17">
        <f>'התיק העדכני'!E17</f>
        <v>0</v>
      </c>
      <c r="B17" s="17">
        <f>'התיק העדכני'!A17</f>
        <v>0</v>
      </c>
      <c r="C17" s="18">
        <f>'התיק העדכני'!H17</f>
        <v>0</v>
      </c>
      <c r="D17" s="19">
        <f>'התיק העדכני'!G17</f>
        <v>0</v>
      </c>
      <c r="E17" s="16"/>
      <c r="F17" s="16"/>
      <c r="G17" s="17"/>
      <c r="I17" s="13">
        <f>'התיק העדכני'!I17</f>
        <v>0</v>
      </c>
      <c r="J17" s="26"/>
      <c r="L17" s="21">
        <f>(E17+CHATGPT!E17+PERPLIXITY!E17+DEEPSEEK!E17)/4</f>
        <v>0</v>
      </c>
      <c r="M17" s="21">
        <f>(F17+CHATGPT!F17+PERPLIXITY!F17+DEEPSEEK!F17)/4</f>
        <v>0</v>
      </c>
    </row>
    <row r="18" spans="1:13" ht="54.95" customHeight="1" thickBot="1" x14ac:dyDescent="0.3">
      <c r="A18" s="17">
        <f>'התיק העדכני'!E18</f>
        <v>0</v>
      </c>
      <c r="B18" s="17">
        <f>'התיק העדכני'!A18</f>
        <v>0</v>
      </c>
      <c r="C18" s="18">
        <f>'התיק העדכני'!H18</f>
        <v>0</v>
      </c>
      <c r="D18" s="19">
        <f>'התיק העדכני'!G18</f>
        <v>0</v>
      </c>
      <c r="E18" s="16"/>
      <c r="F18" s="16"/>
      <c r="G18" s="18"/>
      <c r="I18" s="13">
        <f>'התיק העדכני'!I18</f>
        <v>0</v>
      </c>
      <c r="L18" s="21">
        <f>(E18+CHATGPT!E18+PERPLIXITY!E18+DEEPSEEK!E18)/4</f>
        <v>0</v>
      </c>
      <c r="M18" s="21">
        <f>(F18+CHATGPT!F18+PERPLIXITY!F18+DEEPSEEK!F18)/4</f>
        <v>0</v>
      </c>
    </row>
    <row r="19" spans="1:13" ht="54.95" customHeight="1" thickBot="1" x14ac:dyDescent="0.3">
      <c r="A19" s="17">
        <f>'התיק העדכני'!E19</f>
        <v>0</v>
      </c>
      <c r="B19" s="17">
        <f>'התיק העדכני'!A19</f>
        <v>0</v>
      </c>
      <c r="C19" s="18">
        <f>'התיק העדכני'!H19</f>
        <v>0</v>
      </c>
      <c r="D19" s="19">
        <f>'התיק העדכני'!G19</f>
        <v>0</v>
      </c>
      <c r="E19" s="16"/>
      <c r="F19" s="16"/>
      <c r="G19" s="18"/>
      <c r="I19" s="13">
        <f>'התיק העדכני'!I19</f>
        <v>0</v>
      </c>
      <c r="L19" s="21">
        <f>(E19+CHATGPT!E19+PERPLIXITY!E19+DEEPSEEK!E19)/4</f>
        <v>0</v>
      </c>
      <c r="M19" s="21">
        <f>(F19+CHATGPT!F19+PERPLIXITY!F19+DEEPSEEK!F19)/4</f>
        <v>0</v>
      </c>
    </row>
    <row r="20" spans="1:13" ht="54.95" customHeight="1" thickBot="1" x14ac:dyDescent="0.3">
      <c r="A20" s="17"/>
      <c r="B20" s="17"/>
      <c r="C20" s="18">
        <f>'התיק העדכני'!H20</f>
        <v>0</v>
      </c>
      <c r="D20" s="19">
        <f>'התיק העדכני'!G20</f>
        <v>0</v>
      </c>
      <c r="E20" s="16"/>
      <c r="F20" s="16"/>
      <c r="G20" s="19"/>
      <c r="I20" s="13">
        <f>'התיק העדכני'!I20</f>
        <v>0</v>
      </c>
      <c r="L20" s="21">
        <f>(E20+CHATGPT!E20+PERPLIXITY!E20+DEEPSEEK!E20)/4</f>
        <v>0</v>
      </c>
      <c r="M20" s="21">
        <f>(F20+CHATGPT!F20+PERPLIXITY!F20+DEEPSEEK!F20)/4</f>
        <v>0</v>
      </c>
    </row>
    <row r="21" spans="1:13" ht="54.95" customHeight="1" thickBot="1" x14ac:dyDescent="0.3">
      <c r="A21" s="17">
        <f>'התיק העדכני'!E21</f>
        <v>0</v>
      </c>
      <c r="B21" s="17">
        <f>'התיק העדכני'!A21</f>
        <v>0</v>
      </c>
      <c r="C21" s="18">
        <f>'התיק העדכני'!H21</f>
        <v>0</v>
      </c>
      <c r="D21" s="19">
        <f>'התיק העדכני'!G21</f>
        <v>0</v>
      </c>
      <c r="E21" s="16"/>
      <c r="F21" s="16"/>
      <c r="G21" s="19"/>
      <c r="I21" s="13" t="e">
        <f>'התיק העדכני'!#REF!</f>
        <v>#REF!</v>
      </c>
      <c r="J21" s="26"/>
      <c r="L21" s="21">
        <f>(E21+CHATGPT!E21+PERPLIXITY!E21+DEEPSEEK!E21)/4</f>
        <v>0</v>
      </c>
      <c r="M21" s="21">
        <f>(F21+CHATGPT!F21+PERPLIXITY!F21+DEEPSEEK!F21)/4</f>
        <v>0</v>
      </c>
    </row>
    <row r="22" spans="1:13" ht="54.95" customHeight="1" thickBot="1" x14ac:dyDescent="0.3">
      <c r="A22" s="17">
        <f>'התיק העדכני'!E22</f>
        <v>0</v>
      </c>
      <c r="B22" s="17">
        <f>'התיק העדכני'!A22</f>
        <v>0</v>
      </c>
      <c r="C22" s="18">
        <f>'התיק העדכני'!H22</f>
        <v>0</v>
      </c>
      <c r="D22" s="19">
        <f>'התיק העדכני'!G22</f>
        <v>0</v>
      </c>
      <c r="E22" s="16"/>
      <c r="F22" s="16"/>
      <c r="G22" s="19"/>
      <c r="I22" s="13" t="e">
        <f>'התיק העדכני'!#REF!</f>
        <v>#REF!</v>
      </c>
      <c r="J22" s="26"/>
      <c r="L22" s="21">
        <f>(E22+CHATGPT!E22+PERPLIXITY!E22+DEEPSEEK!E22)/4</f>
        <v>0</v>
      </c>
      <c r="M22" s="21">
        <f>(F22+CHATGPT!F22+PERPLIXITY!F22+DEEPSEEK!F22)/4</f>
        <v>0</v>
      </c>
    </row>
    <row r="23" spans="1:13" ht="54.95" customHeight="1" thickBot="1" x14ac:dyDescent="0.3">
      <c r="A23" s="17"/>
      <c r="B23" s="17">
        <f>'התיק העדכני'!A23</f>
        <v>0</v>
      </c>
      <c r="C23" s="18">
        <f>'התיק העדכני'!H23</f>
        <v>0</v>
      </c>
      <c r="D23" s="19">
        <f>'התיק העדכני'!G23</f>
        <v>0</v>
      </c>
      <c r="E23" s="18"/>
      <c r="F23" s="18"/>
      <c r="G23" s="19"/>
      <c r="I23" s="13" t="e">
        <f>'התיק העדכני'!#REF!</f>
        <v>#REF!</v>
      </c>
      <c r="J23" s="26"/>
      <c r="L23" s="21">
        <f>(E23+CHATGPT!E23+PERPLIXITY!E23+DEEPSEEK!E23)/4</f>
        <v>0</v>
      </c>
      <c r="M23" s="21">
        <f>(F23+CHATGPT!F23+PERPLIXITY!F23+DEEPSEEK!F23)/4</f>
        <v>0</v>
      </c>
    </row>
    <row r="24" spans="1:13" ht="54.95" customHeight="1" thickBot="1" x14ac:dyDescent="0.3">
      <c r="A24" s="17">
        <f>'התיק העדכני'!E24</f>
        <v>0</v>
      </c>
      <c r="B24" s="17">
        <f>'התיק העדכני'!A24</f>
        <v>0</v>
      </c>
      <c r="C24" s="18">
        <f>'התיק העדכני'!H24</f>
        <v>0</v>
      </c>
      <c r="D24" s="19">
        <f>'התיק העדכני'!G24</f>
        <v>0</v>
      </c>
      <c r="E24" s="18"/>
      <c r="F24" s="18"/>
      <c r="G24" s="19"/>
      <c r="I24" s="13" t="e">
        <f>'התיק העדכני'!#REF!</f>
        <v>#REF!</v>
      </c>
      <c r="J24" s="26"/>
      <c r="L24" s="21">
        <f>(E24+CHATGPT!E24+PERPLIXITY!E24+DEEPSEEK!E24)/4</f>
        <v>0</v>
      </c>
      <c r="M24" s="21">
        <f>(F24+CHATGPT!F24+PERPLIXITY!F24+DEEPSEEK!F24)/4</f>
        <v>0</v>
      </c>
    </row>
    <row r="25" spans="1:13" ht="54.95" customHeight="1" thickBot="1" x14ac:dyDescent="0.3">
      <c r="A25" s="17" t="e">
        <f>'התיק העדכני'!#REF!</f>
        <v>#REF!</v>
      </c>
      <c r="B25" s="17" t="e">
        <f>'התיק העדכני'!#REF!</f>
        <v>#REF!</v>
      </c>
      <c r="C25" s="18" t="e">
        <f>'התיק העדכני'!#REF!</f>
        <v>#REF!</v>
      </c>
      <c r="D25" s="19" t="e">
        <f>'התיק העדכני'!#REF!</f>
        <v>#REF!</v>
      </c>
      <c r="E25" s="16"/>
      <c r="F25" s="16"/>
      <c r="G25" s="19"/>
      <c r="I25" s="13" t="e">
        <f>'התיק העדכני'!#REF!</f>
        <v>#REF!</v>
      </c>
      <c r="J25" s="26"/>
      <c r="L25" s="21">
        <f>(E25+CHATGPT!E25+PERPLIXITY!E25+DEEPSEEK!E25)/4</f>
        <v>0</v>
      </c>
      <c r="M25" s="21">
        <f>(F25+CHATGPT!F25+PERPLIXITY!F25+DEEPSEEK!F25)/4</f>
        <v>0</v>
      </c>
    </row>
    <row r="26" spans="1:13" ht="54.95" customHeight="1" thickBot="1" x14ac:dyDescent="0.3">
      <c r="A26" s="17" t="e">
        <f>'התיק העדכני'!#REF!</f>
        <v>#REF!</v>
      </c>
      <c r="B26" s="17" t="e">
        <f>'התיק העדכני'!#REF!</f>
        <v>#REF!</v>
      </c>
      <c r="C26" s="18" t="e">
        <f>'התיק העדכני'!#REF!</f>
        <v>#REF!</v>
      </c>
      <c r="D26" s="19" t="e">
        <f>'התיק העדכני'!#REF!</f>
        <v>#REF!</v>
      </c>
      <c r="E26" s="18"/>
      <c r="F26" s="18"/>
      <c r="G26" s="19"/>
      <c r="I26" s="13" t="e">
        <f>'התיק העדכני'!#REF!</f>
        <v>#REF!</v>
      </c>
      <c r="J26" s="26"/>
      <c r="L26" s="21">
        <f>(E26+CHATGPT!E26+PERPLIXITY!E26+DEEPSEEK!E26)/4</f>
        <v>0</v>
      </c>
      <c r="M26" s="21">
        <f>(F26+CHATGPT!F26+PERPLIXITY!F26+DEEPSEEK!F26)/4</f>
        <v>0</v>
      </c>
    </row>
    <row r="27" spans="1:13" ht="54.95" customHeight="1" thickBot="1" x14ac:dyDescent="0.3">
      <c r="A27" s="17" t="e">
        <f>'התיק העדכני'!#REF!</f>
        <v>#REF!</v>
      </c>
      <c r="B27" s="17" t="e">
        <f>'התיק העדכני'!#REF!</f>
        <v>#REF!</v>
      </c>
      <c r="C27" s="18" t="e">
        <f>'התיק העדכני'!#REF!</f>
        <v>#REF!</v>
      </c>
      <c r="D27" s="19" t="e">
        <f>'התיק העדכני'!#REF!</f>
        <v>#REF!</v>
      </c>
      <c r="E27" s="18"/>
      <c r="F27" s="18"/>
      <c r="G27" s="19"/>
      <c r="I27" s="13" t="e">
        <f>'התיק העדכני'!#REF!</f>
        <v>#REF!</v>
      </c>
      <c r="J27" s="26"/>
      <c r="L27" s="21">
        <f>(E27+CHATGPT!E27+PERPLIXITY!E27+DEEPSEEK!E27)/4</f>
        <v>0</v>
      </c>
      <c r="M27" s="21">
        <f>(F27+CHATGPT!F27+PERPLIXITY!F27+DEEPSEEK!F27)/4</f>
        <v>0</v>
      </c>
    </row>
    <row r="28" spans="1:13" ht="54.95" customHeight="1" thickBot="1" x14ac:dyDescent="0.3">
      <c r="A28" s="17">
        <f>'התיק העדכני'!E20</f>
        <v>0</v>
      </c>
      <c r="B28" s="17">
        <f>'התיק העדכני'!A20</f>
        <v>0</v>
      </c>
      <c r="C28" s="18">
        <f>'התיק העדכני'!H20</f>
        <v>0</v>
      </c>
      <c r="D28" s="19">
        <f>'התיק העדכני'!G20</f>
        <v>0</v>
      </c>
      <c r="E28" s="18"/>
      <c r="F28" s="18"/>
      <c r="G28" s="19"/>
      <c r="I28" s="13">
        <f>'התיק העדכני'!I20</f>
        <v>0</v>
      </c>
      <c r="J28" s="26"/>
      <c r="L28" s="21">
        <f>(E28+CHATGPT!E28+PERPLIXITY!E28+DEEPSEEK!E28)/4</f>
        <v>0</v>
      </c>
      <c r="M28" s="21">
        <f>(F28+CHATGPT!F28+PERPLIXITY!F28+DEEPSEEK!F28)/4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F3B9-AE45-44AE-B4DF-D92B58EB94BD}">
  <dimension ref="A1:M28"/>
  <sheetViews>
    <sheetView topLeftCell="A4" zoomScale="83" zoomScaleNormal="83" workbookViewId="0">
      <selection activeCell="E10" sqref="E10"/>
    </sheetView>
  </sheetViews>
  <sheetFormatPr defaultRowHeight="15" x14ac:dyDescent="0.25"/>
  <cols>
    <col min="1" max="2" width="17.5703125" style="20" customWidth="1"/>
    <col min="3" max="7" width="17.5703125" customWidth="1"/>
    <col min="9" max="9" width="17.5703125" customWidth="1"/>
    <col min="12" max="13" width="17.5703125" style="20" customWidth="1"/>
  </cols>
  <sheetData>
    <row r="1" spans="1:13" ht="54.95" customHeight="1" thickBot="1" x14ac:dyDescent="0.3">
      <c r="A1" s="17" t="s">
        <v>17</v>
      </c>
      <c r="B1" s="22" t="s">
        <v>11</v>
      </c>
      <c r="C1" s="7" t="s">
        <v>18</v>
      </c>
      <c r="D1" s="7" t="s">
        <v>19</v>
      </c>
      <c r="E1" s="7" t="s">
        <v>21</v>
      </c>
      <c r="F1" s="7" t="s">
        <v>20</v>
      </c>
      <c r="G1" s="7"/>
      <c r="I1" s="6" t="s">
        <v>6</v>
      </c>
      <c r="L1" s="17" t="s">
        <v>25</v>
      </c>
      <c r="M1" s="17" t="s">
        <v>26</v>
      </c>
    </row>
    <row r="2" spans="1:13" ht="54.95" customHeight="1" thickBot="1" x14ac:dyDescent="0.3">
      <c r="A2" s="17" t="str">
        <f>'התיק העדכני'!E2</f>
        <v>אייראנג'י טק</v>
      </c>
      <c r="B2" s="17">
        <f>'התיק העדכני'!A2</f>
        <v>1105907</v>
      </c>
      <c r="C2" s="18">
        <f>'התיק העדכני'!H2</f>
        <v>774.5</v>
      </c>
      <c r="D2" s="19">
        <f>'התיק העדכני'!G2</f>
        <v>0</v>
      </c>
      <c r="E2" s="17">
        <v>731</v>
      </c>
      <c r="F2" s="17">
        <v>934</v>
      </c>
      <c r="G2" s="17"/>
      <c r="I2" s="13">
        <f>'התיק העדכני'!I2</f>
        <v>935</v>
      </c>
      <c r="L2" s="21">
        <f>(E2+GEMINI!E2+PERPLIXITY!E2+DEEPSEEK!E2)/4</f>
        <v>742.75</v>
      </c>
      <c r="M2" s="21">
        <f>(F2+GEMINI!F2+PERPLIXITY!F2+DEEPSEEK!F2)/4</f>
        <v>916</v>
      </c>
    </row>
    <row r="3" spans="1:13" ht="54.95" customHeight="1" thickBot="1" x14ac:dyDescent="0.3">
      <c r="A3" s="17" t="str">
        <f>'התיק העדכני'!E3</f>
        <v>אירודרום קבוצה</v>
      </c>
      <c r="B3" s="17">
        <f>'התיק העדכני'!A3</f>
        <v>363010</v>
      </c>
      <c r="C3" s="18">
        <f>'התיק העדכני'!H3</f>
        <v>74.900000000000006</v>
      </c>
      <c r="D3" s="19">
        <f>'התיק העדכני'!G3</f>
        <v>600</v>
      </c>
      <c r="E3" s="16">
        <v>72</v>
      </c>
      <c r="F3" s="16">
        <v>92</v>
      </c>
      <c r="G3" s="7"/>
      <c r="I3" s="13">
        <f>'התיק העדכני'!I3</f>
        <v>73.7</v>
      </c>
      <c r="L3" s="21">
        <f>(E3+GEMINI!E3+PERPLIXITY!E3+DEEPSEEK!E3)/4</f>
        <v>53</v>
      </c>
      <c r="M3" s="21">
        <f>(F3+GEMINI!F3+PERPLIXITY!F3+DEEPSEEK!F3)/4</f>
        <v>96.75</v>
      </c>
    </row>
    <row r="4" spans="1:13" ht="54.95" customHeight="1" thickBot="1" x14ac:dyDescent="0.3">
      <c r="A4" s="17" t="str">
        <f>'התיק העדכני'!E4</f>
        <v>ארית תעשיות</v>
      </c>
      <c r="B4" s="17">
        <f>'התיק העדכני'!A4</f>
        <v>587014</v>
      </c>
      <c r="C4" s="18">
        <f>'התיק העדכני'!H4</f>
        <v>5925</v>
      </c>
      <c r="D4" s="19">
        <f>'התיק העדכני'!G4</f>
        <v>20</v>
      </c>
      <c r="E4" s="16">
        <v>5560</v>
      </c>
      <c r="F4" s="16">
        <v>7100</v>
      </c>
      <c r="G4" s="7"/>
      <c r="I4" s="13">
        <f>'התיק העדכני'!I4</f>
        <v>6055</v>
      </c>
      <c r="L4" s="21">
        <f>(E4+GEMINI!E4+PERPLIXITY!E4+DEEPSEEK!E4)/4</f>
        <v>5855</v>
      </c>
      <c r="M4" s="21">
        <f>(F4+GEMINI!F4+PERPLIXITY!F4+DEEPSEEK!F4)/4</f>
        <v>7050</v>
      </c>
    </row>
    <row r="5" spans="1:13" ht="54.95" customHeight="1" thickBot="1" x14ac:dyDescent="0.3">
      <c r="A5" s="17" t="str">
        <f>'התיק העדכני'!E5</f>
        <v>ג'ין טכנולוגיות</v>
      </c>
      <c r="B5" s="17">
        <f>'התיק העדכני'!A5</f>
        <v>1099787</v>
      </c>
      <c r="C5" s="18">
        <f>'התיק העדכני'!H5</f>
        <v>620</v>
      </c>
      <c r="D5" s="19">
        <f>'התיק העדכני'!G5</f>
        <v>0</v>
      </c>
      <c r="E5" s="16">
        <v>590</v>
      </c>
      <c r="F5" s="16">
        <v>730</v>
      </c>
      <c r="G5" s="7"/>
      <c r="I5" s="13">
        <f>'התיק העדכני'!I5</f>
        <v>510.2</v>
      </c>
      <c r="L5" s="21">
        <f>(E5+GEMINI!E5+PERPLIXITY!E5+DEEPSEEK!E5)/4</f>
        <v>598.25</v>
      </c>
      <c r="M5" s="21">
        <f>(F5+GEMINI!F5+PERPLIXITY!F5+DEEPSEEK!F5)/4</f>
        <v>741.25</v>
      </c>
    </row>
    <row r="6" spans="1:13" ht="54.95" customHeight="1" thickBot="1" x14ac:dyDescent="0.3">
      <c r="A6" s="17" t="str">
        <f>'התיק העדכני'!E6</f>
        <v>דוראל אנרגיה</v>
      </c>
      <c r="B6" s="17">
        <f>'התיק העדכני'!A6</f>
        <v>1166768</v>
      </c>
      <c r="C6" s="18">
        <f>'התיק העדכני'!H6</f>
        <v>4264.16</v>
      </c>
      <c r="D6" s="19">
        <f>'התיק העדכני'!G6</f>
        <v>30</v>
      </c>
      <c r="E6" s="16">
        <v>4380</v>
      </c>
      <c r="F6" s="16">
        <v>5520</v>
      </c>
      <c r="G6" s="7"/>
      <c r="I6" s="13">
        <f>'התיק העדכני'!I6</f>
        <v>6221</v>
      </c>
      <c r="L6" s="21">
        <f>(E6+GEMINI!E6+PERPLIXITY!E6+DEEPSEEK!E6)/4</f>
        <v>4425</v>
      </c>
      <c r="M6" s="21">
        <f>(F6+GEMINI!F6+PERPLIXITY!F6+DEEPSEEK!F6)/4</f>
        <v>5480</v>
      </c>
    </row>
    <row r="7" spans="1:13" ht="54.95" customHeight="1" thickBot="1" x14ac:dyDescent="0.3">
      <c r="A7" s="17" t="str">
        <f>'התיק העדכני'!E7</f>
        <v>הראל סל ת"א 125</v>
      </c>
      <c r="B7" s="17">
        <f>'התיק העדכני'!A7</f>
        <v>1148899</v>
      </c>
      <c r="C7" s="18">
        <f>'התיק העדכני'!H7</f>
        <v>3585</v>
      </c>
      <c r="D7" s="19">
        <f>'התיק העדכני'!G7</f>
        <v>70</v>
      </c>
      <c r="E7" s="16">
        <v>3700</v>
      </c>
      <c r="F7" s="16">
        <v>4600</v>
      </c>
      <c r="G7" s="8"/>
      <c r="I7" s="13">
        <f>'התיק העדכני'!I7</f>
        <v>4109</v>
      </c>
      <c r="L7" s="21">
        <f>(E7+GEMINI!E7+PERPLIXITY!E7+DEEPSEEK!E7)/4</f>
        <v>3737.5</v>
      </c>
      <c r="M7" s="21">
        <f>(F7+GEMINI!F7+PERPLIXITY!F7+DEEPSEEK!F7)/4</f>
        <v>4350</v>
      </c>
    </row>
    <row r="8" spans="1:13" ht="54.95" customHeight="1" thickBot="1" x14ac:dyDescent="0.3">
      <c r="A8" s="17" t="str">
        <f>'התיק העדכני'!E8</f>
        <v>טאואר</v>
      </c>
      <c r="B8" s="17">
        <f>'התיק העדכני'!A8</f>
        <v>1082379</v>
      </c>
      <c r="C8" s="18">
        <f>'התיק העדכני'!H8</f>
        <v>39632.5</v>
      </c>
      <c r="D8" s="19">
        <f>'התיק העדכני'!G8</f>
        <v>4</v>
      </c>
      <c r="E8" s="16">
        <v>42100</v>
      </c>
      <c r="F8" s="16">
        <v>49500</v>
      </c>
      <c r="G8" s="8"/>
      <c r="I8" s="13">
        <f>'התיק העדכני'!I8</f>
        <v>40940</v>
      </c>
      <c r="L8" s="21">
        <f>(E8+GEMINI!E8+PERPLIXITY!E8+DEEPSEEK!E8)/4</f>
        <v>41525</v>
      </c>
      <c r="M8" s="21">
        <f>(F8+GEMINI!F8+PERPLIXITY!F8+DEEPSEEK!F8)/4</f>
        <v>48125</v>
      </c>
    </row>
    <row r="9" spans="1:13" ht="54.95" customHeight="1" thickBot="1" x14ac:dyDescent="0.3">
      <c r="A9" s="17" t="str">
        <f>'התיק העדכני'!E9</f>
        <v>משק אנרגיה</v>
      </c>
      <c r="B9" s="17">
        <f>'התיק העדכני'!A9</f>
        <v>1166974</v>
      </c>
      <c r="C9" s="18">
        <f>'התיק העדכני'!H9</f>
        <v>901.87</v>
      </c>
      <c r="D9" s="19">
        <f>'התיק העדכני'!G9</f>
        <v>80</v>
      </c>
      <c r="E9" s="16">
        <v>1015</v>
      </c>
      <c r="F9" s="16">
        <v>1290</v>
      </c>
      <c r="G9" s="8"/>
      <c r="I9" s="13">
        <f>'התיק העדכני'!I9</f>
        <v>1037</v>
      </c>
      <c r="L9" s="21">
        <f>(E9+GEMINI!E9+PERPLIXITY!E9+DEEPSEEK!E9)/4</f>
        <v>981.25</v>
      </c>
      <c r="M9" s="21">
        <f>(F9+GEMINI!F9+PERPLIXITY!F9+DEEPSEEK!F9)/4</f>
        <v>1245</v>
      </c>
    </row>
    <row r="10" spans="1:13" ht="54.95" customHeight="1" thickBot="1" x14ac:dyDescent="0.3">
      <c r="A10" s="17" t="str">
        <f>'התיק העדכני'!E10</f>
        <v>סטורג' דרופ</v>
      </c>
      <c r="B10" s="17">
        <f>'התיק העדכני'!A10</f>
        <v>1122654</v>
      </c>
      <c r="C10" s="18">
        <f>'התיק העדכני'!H10</f>
        <v>93.13</v>
      </c>
      <c r="D10" s="19">
        <f>'התיק העדכני'!G10</f>
        <v>300</v>
      </c>
      <c r="E10" s="16">
        <v>61</v>
      </c>
      <c r="F10" s="16">
        <v>78</v>
      </c>
      <c r="G10" s="8"/>
      <c r="I10" s="13">
        <f>'התיק העדכני'!I10</f>
        <v>72.400000000000006</v>
      </c>
      <c r="L10" s="21">
        <f>(E10+GEMINI!E10+PERPLIXITY!E10+DEEPSEEK!E10)/4</f>
        <v>63.5</v>
      </c>
      <c r="M10" s="21">
        <f>(F10+GEMINI!F10+PERPLIXITY!F10+DEEPSEEK!F10)/4</f>
        <v>93.25</v>
      </c>
    </row>
    <row r="11" spans="1:13" ht="54.95" customHeight="1" thickBot="1" x14ac:dyDescent="0.3">
      <c r="A11" s="17" t="str">
        <f>'התיק העדכני'!E11</f>
        <v>פועלים</v>
      </c>
      <c r="B11" s="17">
        <f>'התיק העדכני'!A11</f>
        <v>662577</v>
      </c>
      <c r="C11" s="18">
        <f>'התיק העדכני'!H11</f>
        <v>7204.22</v>
      </c>
      <c r="D11" s="19">
        <f>'התיק העדכני'!G11</f>
        <v>9</v>
      </c>
      <c r="E11" s="16">
        <v>7480</v>
      </c>
      <c r="F11" s="16">
        <v>9200</v>
      </c>
      <c r="G11" s="8"/>
      <c r="I11" s="13">
        <f>'התיק העדכני'!I11</f>
        <v>8253</v>
      </c>
      <c r="L11" s="21">
        <f>(E11+GEMINI!E11+PERPLIXITY!E11+DEEPSEEK!E11)/4</f>
        <v>7632.5</v>
      </c>
      <c r="M11" s="21">
        <f>(F11+GEMINI!F11+PERPLIXITY!F11+DEEPSEEK!F11)/4</f>
        <v>8700</v>
      </c>
    </row>
    <row r="12" spans="1:13" ht="54.95" customHeight="1" thickBot="1" x14ac:dyDescent="0.3">
      <c r="A12" s="17" t="str">
        <f>'התיק העדכני'!E12</f>
        <v>ISHARES MSCI GLOBAL SILVER M</v>
      </c>
      <c r="B12" s="17">
        <f>'התיק העדכני'!A12</f>
        <v>5137534</v>
      </c>
      <c r="C12" s="18">
        <f>'התיק העדכני'!H12</f>
        <v>11598.87</v>
      </c>
      <c r="D12" s="19">
        <f>'התיק העדכני'!G12</f>
        <v>8</v>
      </c>
      <c r="E12" s="16">
        <v>12370</v>
      </c>
      <c r="F12" s="16">
        <v>14880</v>
      </c>
      <c r="G12" s="8"/>
      <c r="I12" s="13">
        <f>'התיק העדכני'!I12</f>
        <v>12726.62</v>
      </c>
      <c r="L12" s="21">
        <f>(E12+GEMINI!E12+PERPLIXITY!E12+DEEPSEEK!E12)/4</f>
        <v>12742.5</v>
      </c>
      <c r="M12" s="21">
        <f>(F12+GEMINI!F12+PERPLIXITY!F12+DEEPSEEK!F12)/4</f>
        <v>15095</v>
      </c>
    </row>
    <row r="13" spans="1:13" ht="54.95" customHeight="1" thickBot="1" x14ac:dyDescent="0.3">
      <c r="A13" s="17" t="str">
        <f>'התיק העדכני'!E13</f>
        <v>MTF מחקה אינדקס תעשיה ישראל</v>
      </c>
      <c r="B13" s="17">
        <f>'התיק העדכני'!A13</f>
        <v>5135470</v>
      </c>
      <c r="C13" s="18">
        <f>'התיק העדכני'!H13</f>
        <v>197.23</v>
      </c>
      <c r="D13" s="19">
        <f>'התיק העדכני'!G13</f>
        <v>500</v>
      </c>
      <c r="E13" s="16">
        <v>195</v>
      </c>
      <c r="F13" s="16">
        <v>248</v>
      </c>
      <c r="G13" s="8"/>
      <c r="I13" s="13">
        <f>'התיק העדכני'!I13</f>
        <v>218.62</v>
      </c>
      <c r="L13" s="21">
        <f>(E13+GEMINI!E13+PERPLIXITY!E13+DEEPSEEK!E13)/4</f>
        <v>203.75</v>
      </c>
      <c r="M13" s="21">
        <f>(F13+GEMINI!F13+PERPLIXITY!F13+DEEPSEEK!F13)/4</f>
        <v>243.25</v>
      </c>
    </row>
    <row r="14" spans="1:13" ht="54.95" customHeight="1" thickBot="1" x14ac:dyDescent="0.3">
      <c r="A14" s="17" t="str">
        <f>'התיק העדכני'!E14</f>
        <v>MTF מחקה אינדקס Global Metals &amp; Minerals producers מנוטרלת דולר</v>
      </c>
      <c r="B14" s="17">
        <f>'התיק העדכני'!A14</f>
        <v>5134135</v>
      </c>
      <c r="C14" s="18">
        <f>'התיק העדכני'!H14</f>
        <v>159.02000000000001</v>
      </c>
      <c r="D14" s="19">
        <f>'התיק העדכני'!G14</f>
        <v>600</v>
      </c>
      <c r="E14" s="16">
        <v>163</v>
      </c>
      <c r="F14" s="16">
        <v>209</v>
      </c>
      <c r="G14" s="7"/>
      <c r="I14" s="13">
        <f>'התיק העדכני'!I14</f>
        <v>188.1</v>
      </c>
      <c r="L14" s="21">
        <f>(E14+GEMINI!E14+PERPLIXITY!E14+DEEPSEEK!E14)/4</f>
        <v>170.5</v>
      </c>
      <c r="M14" s="21">
        <f>(F14+GEMINI!F14+PERPLIXITY!F14+DEEPSEEK!F14)/4</f>
        <v>206</v>
      </c>
    </row>
    <row r="15" spans="1:13" ht="54.95" customHeight="1" thickBot="1" x14ac:dyDescent="0.3">
      <c r="A15" s="17" t="str">
        <f>'התיק העדכני'!E15</f>
        <v>MTF סל אינדקס אנרגיה מתחדשת</v>
      </c>
      <c r="B15" s="17">
        <f>'התיק העדכני'!A15</f>
        <v>1168723</v>
      </c>
      <c r="C15" s="18">
        <f>'התיק העדכני'!H15</f>
        <v>1523.63</v>
      </c>
      <c r="D15" s="19">
        <f>'התיק העדכני'!G15</f>
        <v>55</v>
      </c>
      <c r="E15" s="16">
        <v>1693</v>
      </c>
      <c r="F15" s="16">
        <v>2163</v>
      </c>
      <c r="G15" s="7"/>
      <c r="I15" s="13">
        <f>'התיק העדכני'!I15</f>
        <v>2033</v>
      </c>
      <c r="L15" s="21">
        <f>(E15+GEMINI!E15+PERPLIXITY!E15+DEEPSEEK!E15)/4</f>
        <v>1680.75</v>
      </c>
      <c r="M15" s="21">
        <f>(F15+GEMINI!F15+PERPLIXITY!F15+DEEPSEEK!F15)/4</f>
        <v>2053.25</v>
      </c>
    </row>
    <row r="16" spans="1:13" ht="54.95" customHeight="1" thickBot="1" x14ac:dyDescent="0.3">
      <c r="A16" s="17">
        <f>'התיק העדכני'!E16</f>
        <v>0</v>
      </c>
      <c r="B16" s="17">
        <f>'התיק העדכני'!A16</f>
        <v>0</v>
      </c>
      <c r="C16" s="18">
        <f>'התיק העדכני'!H16</f>
        <v>0</v>
      </c>
      <c r="D16" s="19">
        <f>'התיק העדכני'!G16</f>
        <v>0</v>
      </c>
      <c r="E16" s="16"/>
      <c r="F16" s="16"/>
      <c r="G16" s="7"/>
      <c r="I16" s="13">
        <f>'התיק העדכני'!I16</f>
        <v>0</v>
      </c>
      <c r="L16" s="21">
        <f>(E16+GEMINI!E16+PERPLIXITY!E16+DEEPSEEK!E16)/4</f>
        <v>0</v>
      </c>
      <c r="M16" s="21">
        <f>(F16+GEMINI!F16+PERPLIXITY!F16+DEEPSEEK!F16)/4</f>
        <v>0</v>
      </c>
    </row>
    <row r="17" spans="1:13" ht="54.95" customHeight="1" thickBot="1" x14ac:dyDescent="0.3">
      <c r="A17" s="17">
        <f>'התיק העדכני'!E17</f>
        <v>0</v>
      </c>
      <c r="B17" s="17">
        <f>'התיק העדכני'!A17</f>
        <v>0</v>
      </c>
      <c r="C17" s="18">
        <f>'התיק העדכני'!H17</f>
        <v>0</v>
      </c>
      <c r="D17" s="19">
        <f>'התיק העדכני'!G17</f>
        <v>0</v>
      </c>
      <c r="E17" s="16"/>
      <c r="F17" s="16"/>
      <c r="G17" s="7"/>
      <c r="I17" s="13">
        <f>'התיק העדכני'!I17</f>
        <v>0</v>
      </c>
      <c r="L17" s="21">
        <f>(E17+GEMINI!E17+PERPLIXITY!E17+DEEPSEEK!E17)/4</f>
        <v>0</v>
      </c>
      <c r="M17" s="21">
        <f>(F17+GEMINI!F17+PERPLIXITY!F17+DEEPSEEK!F17)/4</f>
        <v>0</v>
      </c>
    </row>
    <row r="18" spans="1:13" ht="54.95" customHeight="1" thickBot="1" x14ac:dyDescent="0.3">
      <c r="A18" s="17">
        <f>'התיק העדכני'!E18</f>
        <v>0</v>
      </c>
      <c r="B18" s="17">
        <f>'התיק העדכני'!A18</f>
        <v>0</v>
      </c>
      <c r="C18" s="18">
        <f>'התיק העדכני'!H18</f>
        <v>0</v>
      </c>
      <c r="D18" s="19">
        <f>'התיק העדכני'!G18</f>
        <v>0</v>
      </c>
      <c r="E18" s="16"/>
      <c r="F18" s="16"/>
      <c r="G18" s="8"/>
      <c r="I18" s="13">
        <f>'התיק העדכני'!I18</f>
        <v>0</v>
      </c>
      <c r="L18" s="21">
        <f>(E18+GEMINI!E18+PERPLIXITY!E18+DEEPSEEK!E18)/4</f>
        <v>0</v>
      </c>
      <c r="M18" s="21">
        <f>(F18+GEMINI!F18+PERPLIXITY!F18+DEEPSEEK!F18)/4</f>
        <v>0</v>
      </c>
    </row>
    <row r="19" spans="1:13" ht="54.95" customHeight="1" thickBot="1" x14ac:dyDescent="0.3">
      <c r="A19" s="17">
        <f>'התיק העדכני'!E19</f>
        <v>0</v>
      </c>
      <c r="B19" s="17">
        <f>'התיק העדכני'!A19</f>
        <v>0</v>
      </c>
      <c r="C19" s="18">
        <f>'התיק העדכני'!H19</f>
        <v>0</v>
      </c>
      <c r="D19" s="19">
        <f>'התיק העדכני'!G19</f>
        <v>0</v>
      </c>
      <c r="E19" s="16"/>
      <c r="F19" s="16"/>
      <c r="G19" s="8"/>
      <c r="I19" s="13">
        <f>'התיק העדכני'!I19</f>
        <v>0</v>
      </c>
      <c r="L19" s="21">
        <f>(E19+GEMINI!E19+PERPLIXITY!E19+DEEPSEEK!E19)/4</f>
        <v>0</v>
      </c>
      <c r="M19" s="21">
        <f>(F19+GEMINI!F19+PERPLIXITY!F19+DEEPSEEK!F19)/4</f>
        <v>0</v>
      </c>
    </row>
    <row r="20" spans="1:13" ht="54.95" customHeight="1" thickBot="1" x14ac:dyDescent="0.3">
      <c r="A20" s="17"/>
      <c r="B20" s="17"/>
      <c r="C20" s="18">
        <f>'התיק העדכני'!H20</f>
        <v>0</v>
      </c>
      <c r="D20" s="19">
        <f>'התיק העדכני'!G20</f>
        <v>0</v>
      </c>
      <c r="E20" s="16"/>
      <c r="F20" s="16"/>
      <c r="G20" s="8"/>
      <c r="I20" s="13">
        <f>'התיק העדכני'!I20</f>
        <v>0</v>
      </c>
      <c r="L20" s="21">
        <f>(E20+GEMINI!E20+PERPLIXITY!E20+DEEPSEEK!E20)/4</f>
        <v>0</v>
      </c>
      <c r="M20" s="21">
        <f>(F20+GEMINI!F20+PERPLIXITY!F20+DEEPSEEK!F20)/4</f>
        <v>0</v>
      </c>
    </row>
    <row r="21" spans="1:13" ht="54.95" customHeight="1" thickBot="1" x14ac:dyDescent="0.3">
      <c r="A21" s="17">
        <f>'התיק העדכני'!E21</f>
        <v>0</v>
      </c>
      <c r="B21" s="17">
        <f>'התיק העדכני'!A21</f>
        <v>0</v>
      </c>
      <c r="C21" s="18">
        <f>'התיק העדכני'!H21</f>
        <v>0</v>
      </c>
      <c r="D21" s="19">
        <f>'התיק העדכני'!G21</f>
        <v>0</v>
      </c>
      <c r="E21" s="16"/>
      <c r="F21" s="16"/>
      <c r="G21" s="8"/>
      <c r="I21" s="13"/>
      <c r="L21" s="21"/>
      <c r="M21" s="21"/>
    </row>
    <row r="22" spans="1:13" ht="54.95" customHeight="1" thickBot="1" x14ac:dyDescent="0.3">
      <c r="A22" s="17"/>
      <c r="B22" s="17"/>
      <c r="C22" s="18"/>
      <c r="D22" s="19"/>
      <c r="E22" s="16"/>
      <c r="F22" s="16"/>
      <c r="G22" s="8"/>
      <c r="I22" s="13"/>
      <c r="L22" s="21"/>
      <c r="M22" s="21"/>
    </row>
    <row r="23" spans="1:13" ht="54.95" customHeight="1" thickBot="1" x14ac:dyDescent="0.3">
      <c r="A23" s="17"/>
      <c r="B23" s="17"/>
      <c r="C23" s="18"/>
      <c r="D23" s="19"/>
      <c r="E23" s="16"/>
      <c r="F23" s="16"/>
      <c r="G23" s="8"/>
      <c r="I23" s="13"/>
      <c r="L23" s="21"/>
      <c r="M23" s="21"/>
    </row>
    <row r="24" spans="1:13" ht="54.95" customHeight="1" thickBot="1" x14ac:dyDescent="0.3">
      <c r="A24" s="17"/>
      <c r="B24" s="17"/>
      <c r="C24" s="18"/>
      <c r="D24" s="19"/>
      <c r="E24" s="16"/>
      <c r="F24" s="16"/>
      <c r="G24" s="8"/>
      <c r="I24" s="13"/>
      <c r="L24" s="21"/>
      <c r="M24" s="21"/>
    </row>
    <row r="25" spans="1:13" ht="54.95" customHeight="1" thickBot="1" x14ac:dyDescent="0.3">
      <c r="A25" s="17"/>
      <c r="B25" s="17"/>
      <c r="C25" s="18"/>
      <c r="D25" s="19"/>
      <c r="E25" s="16"/>
      <c r="F25" s="16"/>
      <c r="G25" s="8"/>
      <c r="I25" s="13"/>
      <c r="L25" s="21"/>
      <c r="M25" s="21"/>
    </row>
    <row r="26" spans="1:13" ht="54.95" customHeight="1" thickBot="1" x14ac:dyDescent="0.3">
      <c r="A26" s="17"/>
      <c r="B26" s="17"/>
      <c r="C26" s="18"/>
      <c r="D26" s="19"/>
      <c r="E26" s="16"/>
      <c r="F26" s="16"/>
      <c r="G26" s="8"/>
      <c r="I26" s="13"/>
      <c r="L26" s="21"/>
      <c r="M26" s="21"/>
    </row>
    <row r="27" spans="1:13" ht="54.95" customHeight="1" thickBot="1" x14ac:dyDescent="0.3">
      <c r="A27" s="17"/>
      <c r="B27" s="17"/>
      <c r="C27" s="18"/>
      <c r="D27" s="19"/>
      <c r="E27" s="16"/>
      <c r="F27" s="16"/>
      <c r="G27" s="8"/>
      <c r="I27" s="13"/>
      <c r="L27" s="21"/>
      <c r="M27" s="21"/>
    </row>
    <row r="28" spans="1:13" ht="54.95" customHeight="1" thickBot="1" x14ac:dyDescent="0.3">
      <c r="A28" s="17"/>
      <c r="B28" s="17"/>
      <c r="C28" s="18"/>
      <c r="D28" s="19"/>
      <c r="E28" s="16"/>
      <c r="F28" s="16"/>
      <c r="G28" s="8"/>
      <c r="I28" s="13"/>
      <c r="L28" s="21"/>
      <c r="M28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97C0-21A8-47C7-B959-3D6DF74EF6E2}">
  <dimension ref="A1:M28"/>
  <sheetViews>
    <sheetView topLeftCell="A7" zoomScale="85" zoomScaleNormal="85" workbookViewId="0">
      <selection activeCell="E19" sqref="E19:F19"/>
    </sheetView>
  </sheetViews>
  <sheetFormatPr defaultRowHeight="15" x14ac:dyDescent="0.25"/>
  <cols>
    <col min="1" max="2" width="17.5703125" style="20" customWidth="1"/>
    <col min="3" max="6" width="17.5703125" customWidth="1"/>
    <col min="9" max="9" width="17.5703125" customWidth="1"/>
    <col min="12" max="13" width="17.5703125" style="20" customWidth="1"/>
  </cols>
  <sheetData>
    <row r="1" spans="1:13" ht="54.95" customHeight="1" thickBot="1" x14ac:dyDescent="0.3">
      <c r="A1" s="17" t="s">
        <v>17</v>
      </c>
      <c r="B1" s="22" t="s">
        <v>11</v>
      </c>
      <c r="C1" s="11" t="s">
        <v>22</v>
      </c>
      <c r="D1" s="11" t="s">
        <v>13</v>
      </c>
      <c r="E1" s="11" t="s">
        <v>23</v>
      </c>
      <c r="F1" s="11" t="s">
        <v>24</v>
      </c>
      <c r="G1" s="9"/>
      <c r="I1" s="6" t="s">
        <v>6</v>
      </c>
      <c r="L1" s="17" t="s">
        <v>25</v>
      </c>
      <c r="M1" s="17" t="s">
        <v>26</v>
      </c>
    </row>
    <row r="2" spans="1:13" ht="54.95" customHeight="1" thickBot="1" x14ac:dyDescent="0.3">
      <c r="A2" s="17" t="str">
        <f>'התיק העדכני'!E2</f>
        <v>אייראנג'י טק</v>
      </c>
      <c r="B2" s="17">
        <f>'התיק העדכני'!A2</f>
        <v>1105907</v>
      </c>
      <c r="C2" s="18">
        <f>'התיק העדכני'!H2</f>
        <v>774.5</v>
      </c>
      <c r="D2" s="19">
        <f>'התיק העדכני'!G2</f>
        <v>0</v>
      </c>
      <c r="E2" s="17">
        <v>730</v>
      </c>
      <c r="F2" s="17">
        <v>930</v>
      </c>
      <c r="G2" s="10"/>
      <c r="I2" s="13">
        <f>'התיק העדכני'!I2</f>
        <v>935</v>
      </c>
      <c r="L2" s="21">
        <f>(E2+CHATGPT!E2+GEMINI!E2+DEEPSEEK!E2)/4</f>
        <v>742.75</v>
      </c>
      <c r="M2" s="21">
        <f>(F2+CHATGPT!F2+GEMINI!F2+DEEPSEEK!F2)/4</f>
        <v>916</v>
      </c>
    </row>
    <row r="3" spans="1:13" ht="54.95" customHeight="1" thickBot="1" x14ac:dyDescent="0.3">
      <c r="A3" s="17" t="str">
        <f>'התיק העדכני'!E3</f>
        <v>אירודרום קבוצה</v>
      </c>
      <c r="B3" s="17">
        <f>'התיק העדכני'!A3</f>
        <v>363010</v>
      </c>
      <c r="C3" s="18">
        <f>'התיק העדכני'!H3</f>
        <v>74.900000000000006</v>
      </c>
      <c r="D3" s="19">
        <f>'התיק העדכני'!G3</f>
        <v>600</v>
      </c>
      <c r="E3" s="16">
        <v>72</v>
      </c>
      <c r="F3" s="16">
        <v>95</v>
      </c>
      <c r="G3" s="10"/>
      <c r="I3" s="13">
        <f>'התיק העדכני'!I3</f>
        <v>73.7</v>
      </c>
      <c r="L3" s="21">
        <f>(E3+CHATGPT!E3+GEMINI!E3+DEEPSEEK!E3)/4</f>
        <v>53</v>
      </c>
      <c r="M3" s="21">
        <f>(F3+CHATGPT!F3+GEMINI!F3+DEEPSEEK!F3)/4</f>
        <v>96.75</v>
      </c>
    </row>
    <row r="4" spans="1:13" ht="54.95" customHeight="1" thickBot="1" x14ac:dyDescent="0.3">
      <c r="A4" s="17" t="str">
        <f>'התיק העדכני'!E4</f>
        <v>ארית תעשיות</v>
      </c>
      <c r="B4" s="17">
        <f>'התיק העדכני'!A4</f>
        <v>587014</v>
      </c>
      <c r="C4" s="18">
        <f>'התיק העדכני'!H4</f>
        <v>5925</v>
      </c>
      <c r="D4" s="19">
        <f>'התיק העדכני'!G4</f>
        <v>20</v>
      </c>
      <c r="E4" s="16">
        <v>5560</v>
      </c>
      <c r="F4" s="16">
        <v>7100</v>
      </c>
      <c r="G4" s="10"/>
      <c r="I4" s="13">
        <f>'התיק העדכני'!I4</f>
        <v>6055</v>
      </c>
      <c r="L4" s="21">
        <f>(E4+CHATGPT!E4+GEMINI!E4+DEEPSEEK!E4)/4</f>
        <v>5855</v>
      </c>
      <c r="M4" s="21">
        <f>(F4+CHATGPT!F4+GEMINI!F4+DEEPSEEK!F4)/4</f>
        <v>7050</v>
      </c>
    </row>
    <row r="5" spans="1:13" ht="54.95" customHeight="1" thickBot="1" x14ac:dyDescent="0.3">
      <c r="A5" s="17" t="str">
        <f>'התיק העדכני'!E5</f>
        <v>ג'ין טכנולוגיות</v>
      </c>
      <c r="B5" s="17">
        <f>'התיק העדכני'!A5</f>
        <v>1099787</v>
      </c>
      <c r="C5" s="18">
        <f>'התיק העדכני'!H5</f>
        <v>620</v>
      </c>
      <c r="D5" s="19">
        <f>'התיק העדכני'!G5</f>
        <v>0</v>
      </c>
      <c r="E5" s="16">
        <v>590</v>
      </c>
      <c r="F5" s="16">
        <v>725</v>
      </c>
      <c r="G5" s="10"/>
      <c r="I5" s="13">
        <f>'התיק העדכני'!I5</f>
        <v>510.2</v>
      </c>
      <c r="L5" s="21">
        <f>(E5+CHATGPT!E5+GEMINI!E5+DEEPSEEK!E5)/4</f>
        <v>598.25</v>
      </c>
      <c r="M5" s="21">
        <f>(F5+CHATGPT!F5+GEMINI!F5+DEEPSEEK!F5)/4</f>
        <v>741.25</v>
      </c>
    </row>
    <row r="6" spans="1:13" ht="54.95" customHeight="1" thickBot="1" x14ac:dyDescent="0.3">
      <c r="A6" s="17" t="str">
        <f>'התיק העדכני'!E6</f>
        <v>דוראל אנרגיה</v>
      </c>
      <c r="B6" s="17">
        <f>'התיק העדכני'!A6</f>
        <v>1166768</v>
      </c>
      <c r="C6" s="18">
        <f>'התיק העדכני'!H6</f>
        <v>4264.16</v>
      </c>
      <c r="D6" s="19">
        <f>'התיק העדכני'!G6</f>
        <v>30</v>
      </c>
      <c r="E6" s="16">
        <v>4400</v>
      </c>
      <c r="F6" s="16">
        <v>5500</v>
      </c>
      <c r="G6" s="10"/>
      <c r="I6" s="13">
        <f>'התיק העדכני'!I6</f>
        <v>6221</v>
      </c>
      <c r="L6" s="21">
        <f>(E6+CHATGPT!E6+GEMINI!E6+DEEPSEEK!E6)/4</f>
        <v>4425</v>
      </c>
      <c r="M6" s="21">
        <f>(F6+CHATGPT!F6+GEMINI!F6+DEEPSEEK!F6)/4</f>
        <v>5480</v>
      </c>
    </row>
    <row r="7" spans="1:13" ht="54.95" customHeight="1" thickBot="1" x14ac:dyDescent="0.3">
      <c r="A7" s="17" t="str">
        <f>'התיק העדכני'!E7</f>
        <v>הראל סל ת"א 125</v>
      </c>
      <c r="B7" s="17">
        <f>'התיק העדכני'!A7</f>
        <v>1148899</v>
      </c>
      <c r="C7" s="18">
        <f>'התיק העדכני'!H7</f>
        <v>3585</v>
      </c>
      <c r="D7" s="19">
        <f>'התיק העדכני'!G7</f>
        <v>70</v>
      </c>
      <c r="E7" s="16">
        <v>3700</v>
      </c>
      <c r="F7" s="16">
        <v>4400</v>
      </c>
      <c r="G7" s="10"/>
      <c r="I7" s="13">
        <f>'התיק העדכני'!I7</f>
        <v>4109</v>
      </c>
      <c r="L7" s="21">
        <f>(E7+CHATGPT!E7+GEMINI!E7+DEEPSEEK!E7)/4</f>
        <v>3737.5</v>
      </c>
      <c r="M7" s="21">
        <f>(F7+CHATGPT!F7+GEMINI!F7+DEEPSEEK!F7)/4</f>
        <v>4350</v>
      </c>
    </row>
    <row r="8" spans="1:13" ht="54.95" customHeight="1" thickBot="1" x14ac:dyDescent="0.3">
      <c r="A8" s="17" t="str">
        <f>'התיק העדכני'!E8</f>
        <v>טאואר</v>
      </c>
      <c r="B8" s="17">
        <f>'התיק העדכני'!A8</f>
        <v>1082379</v>
      </c>
      <c r="C8" s="18">
        <f>'התיק העדכני'!H8</f>
        <v>39632.5</v>
      </c>
      <c r="D8" s="19">
        <f>'התיק העדכני'!G8</f>
        <v>4</v>
      </c>
      <c r="E8" s="16">
        <v>42000</v>
      </c>
      <c r="F8" s="16">
        <v>48000</v>
      </c>
      <c r="I8" s="13">
        <f>'התיק העדכני'!I8</f>
        <v>40940</v>
      </c>
      <c r="L8" s="21">
        <f>(E8+CHATGPT!E8+GEMINI!E8+DEEPSEEK!E8)/4</f>
        <v>41525</v>
      </c>
      <c r="M8" s="21">
        <f>(F8+CHATGPT!F8+GEMINI!F8+DEEPSEEK!F8)/4</f>
        <v>48125</v>
      </c>
    </row>
    <row r="9" spans="1:13" ht="54.95" customHeight="1" thickBot="1" x14ac:dyDescent="0.3">
      <c r="A9" s="17" t="str">
        <f>'התיק העדכני'!E9</f>
        <v>משק אנרגיה</v>
      </c>
      <c r="B9" s="17">
        <f>'התיק העדכני'!A9</f>
        <v>1166974</v>
      </c>
      <c r="C9" s="18">
        <f>'התיק העדכני'!H9</f>
        <v>901.87</v>
      </c>
      <c r="D9" s="19">
        <f>'התיק העדכני'!G9</f>
        <v>80</v>
      </c>
      <c r="E9" s="16">
        <v>1000</v>
      </c>
      <c r="F9" s="16">
        <v>1290</v>
      </c>
      <c r="I9" s="13">
        <f>'התיק העדכני'!I9</f>
        <v>1037</v>
      </c>
      <c r="L9" s="21">
        <f>(E9+CHATGPT!E9+GEMINI!E9+DEEPSEEK!E9)/4</f>
        <v>981.25</v>
      </c>
      <c r="M9" s="21">
        <f>(F9+CHATGPT!F9+GEMINI!F9+DEEPSEEK!F9)/4</f>
        <v>1245</v>
      </c>
    </row>
    <row r="10" spans="1:13" ht="54.95" customHeight="1" thickBot="1" x14ac:dyDescent="0.3">
      <c r="A10" s="17" t="str">
        <f>'התיק העדכני'!E10</f>
        <v>סטורג' דרופ</v>
      </c>
      <c r="B10" s="17">
        <f>'התיק העדכני'!A10</f>
        <v>1122654</v>
      </c>
      <c r="C10" s="18">
        <f>'התיק העדכני'!H10</f>
        <v>93.13</v>
      </c>
      <c r="D10" s="19">
        <f>'התיק העדכני'!G10</f>
        <v>300</v>
      </c>
      <c r="E10" s="16">
        <v>63</v>
      </c>
      <c r="F10" s="16">
        <v>95</v>
      </c>
      <c r="I10" s="13">
        <f>'התיק העדכני'!I10</f>
        <v>72.400000000000006</v>
      </c>
      <c r="L10" s="21">
        <f>(E10+CHATGPT!E10+GEMINI!E10+DEEPSEEK!E10)/4</f>
        <v>63.5</v>
      </c>
      <c r="M10" s="21">
        <f>(F10+CHATGPT!F10+GEMINI!F10+DEEPSEEK!F10)/4</f>
        <v>93.25</v>
      </c>
    </row>
    <row r="11" spans="1:13" ht="54.95" customHeight="1" thickBot="1" x14ac:dyDescent="0.3">
      <c r="A11" s="17" t="str">
        <f>'התיק העדכני'!E11</f>
        <v>פועלים</v>
      </c>
      <c r="B11" s="17">
        <f>'התיק העדכני'!A11</f>
        <v>662577</v>
      </c>
      <c r="C11" s="18">
        <f>'התיק העדכני'!H11</f>
        <v>7204.22</v>
      </c>
      <c r="D11" s="19">
        <f>'התיק העדכני'!G11</f>
        <v>9</v>
      </c>
      <c r="E11" s="16">
        <v>7700</v>
      </c>
      <c r="F11" s="16">
        <v>8600</v>
      </c>
      <c r="I11" s="13">
        <f>'התיק העדכני'!I11</f>
        <v>8253</v>
      </c>
      <c r="L11" s="21">
        <f>(E11+CHATGPT!E11+GEMINI!E11+DEEPSEEK!E11)/4</f>
        <v>7632.5</v>
      </c>
      <c r="M11" s="21">
        <f>(F11+CHATGPT!F11+GEMINI!F11+DEEPSEEK!F11)/4</f>
        <v>8700</v>
      </c>
    </row>
    <row r="12" spans="1:13" ht="54.95" customHeight="1" thickBot="1" x14ac:dyDescent="0.3">
      <c r="A12" s="17" t="str">
        <f>'התיק העדכני'!E12</f>
        <v>ISHARES MSCI GLOBAL SILVER M</v>
      </c>
      <c r="B12" s="17">
        <f>'התיק העדכני'!A12</f>
        <v>5137534</v>
      </c>
      <c r="C12" s="18">
        <f>'התיק העדכני'!H12</f>
        <v>11598.87</v>
      </c>
      <c r="D12" s="19">
        <f>'התיק העדכני'!G12</f>
        <v>8</v>
      </c>
      <c r="E12" s="16">
        <v>12500</v>
      </c>
      <c r="F12" s="16">
        <v>15000</v>
      </c>
      <c r="G12" s="10"/>
      <c r="I12" s="13">
        <f>'התיק העדכני'!I12</f>
        <v>12726.62</v>
      </c>
      <c r="L12" s="21">
        <f>(E12+CHATGPT!E12+GEMINI!E12+DEEPSEEK!E12)/4</f>
        <v>12742.5</v>
      </c>
      <c r="M12" s="21">
        <f>(F12+CHATGPT!F12+GEMINI!F12+DEEPSEEK!F12)/4</f>
        <v>15095</v>
      </c>
    </row>
    <row r="13" spans="1:13" ht="54.95" customHeight="1" thickBot="1" x14ac:dyDescent="0.3">
      <c r="A13" s="17" t="str">
        <f>'התיק העדכני'!E13</f>
        <v>MTF מחקה אינדקס תעשיה ישראל</v>
      </c>
      <c r="B13" s="17">
        <f>'התיק העדכני'!A13</f>
        <v>5135470</v>
      </c>
      <c r="C13" s="18">
        <f>'התיק העדכני'!H13</f>
        <v>197.23</v>
      </c>
      <c r="D13" s="19">
        <f>'התיק העדכני'!G13</f>
        <v>500</v>
      </c>
      <c r="E13" s="16">
        <v>200</v>
      </c>
      <c r="F13" s="16">
        <v>240</v>
      </c>
      <c r="G13" s="10"/>
      <c r="I13" s="13">
        <f>'התיק העדכני'!I13</f>
        <v>218.62</v>
      </c>
      <c r="L13" s="21">
        <f>(E13+CHATGPT!E13+GEMINI!E13+DEEPSEEK!E13)/4</f>
        <v>203.75</v>
      </c>
      <c r="M13" s="21">
        <f>(F13+CHATGPT!F13+GEMINI!F13+DEEPSEEK!F13)/4</f>
        <v>243.25</v>
      </c>
    </row>
    <row r="14" spans="1:13" ht="54.95" customHeight="1" thickBot="1" x14ac:dyDescent="0.3">
      <c r="A14" s="17" t="str">
        <f>'התיק העדכני'!E14</f>
        <v>MTF מחקה אינדקס Global Metals &amp; Minerals producers מנוטרלת דולר</v>
      </c>
      <c r="B14" s="17">
        <f>'התיק העדכני'!A14</f>
        <v>5134135</v>
      </c>
      <c r="C14" s="18">
        <f>'התיק העדכני'!H14</f>
        <v>159.02000000000001</v>
      </c>
      <c r="D14" s="19">
        <f>'התיק העדכני'!G14</f>
        <v>600</v>
      </c>
      <c r="E14" s="16">
        <v>170</v>
      </c>
      <c r="F14" s="16">
        <v>205</v>
      </c>
      <c r="G14" s="10"/>
      <c r="I14" s="13">
        <f>'התיק העדכני'!I14</f>
        <v>188.1</v>
      </c>
      <c r="L14" s="21">
        <f>(E14+CHATGPT!E14+GEMINI!E14+DEEPSEEK!E14)/4</f>
        <v>170.5</v>
      </c>
      <c r="M14" s="21">
        <f>(F14+CHATGPT!F14+GEMINI!F14+DEEPSEEK!F14)/4</f>
        <v>206</v>
      </c>
    </row>
    <row r="15" spans="1:13" ht="54.95" customHeight="1" thickBot="1" x14ac:dyDescent="0.3">
      <c r="A15" s="17" t="str">
        <f>'התיק העדכני'!E15</f>
        <v>MTF סל אינדקס אנרגיה מתחדשת</v>
      </c>
      <c r="B15" s="17">
        <f>'התיק העדכני'!A15</f>
        <v>1168723</v>
      </c>
      <c r="C15" s="18">
        <f>'התיק העדכני'!H15</f>
        <v>1523.63</v>
      </c>
      <c r="D15" s="19">
        <f>'התיק העדכני'!G15</f>
        <v>55</v>
      </c>
      <c r="E15" s="16">
        <v>1700</v>
      </c>
      <c r="F15" s="16">
        <v>2100</v>
      </c>
      <c r="G15" s="10"/>
      <c r="I15" s="13">
        <f>'התיק העדכני'!I15</f>
        <v>2033</v>
      </c>
      <c r="L15" s="21">
        <f>(E15+CHATGPT!E15+GEMINI!E15+DEEPSEEK!E15)/4</f>
        <v>1680.75</v>
      </c>
      <c r="M15" s="21">
        <f>(F15+CHATGPT!F15+GEMINI!F15+DEEPSEEK!F15)/4</f>
        <v>2053.25</v>
      </c>
    </row>
    <row r="16" spans="1:13" ht="54.95" customHeight="1" thickBot="1" x14ac:dyDescent="0.3">
      <c r="A16" s="17">
        <f>'התיק העדכני'!E16</f>
        <v>0</v>
      </c>
      <c r="B16" s="17">
        <f>'התיק העדכני'!A16</f>
        <v>0</v>
      </c>
      <c r="C16" s="18">
        <f>'התיק העדכני'!H16</f>
        <v>0</v>
      </c>
      <c r="D16" s="19">
        <f>'התיק העדכני'!G16</f>
        <v>0</v>
      </c>
      <c r="E16" s="16"/>
      <c r="F16" s="16"/>
      <c r="G16" s="10"/>
      <c r="I16" s="13">
        <f>'התיק העדכני'!I16</f>
        <v>0</v>
      </c>
      <c r="L16" s="21">
        <f>(E16+CHATGPT!E16+GEMINI!E16+DEEPSEEK!E16)/4</f>
        <v>0</v>
      </c>
      <c r="M16" s="21">
        <f>(F16+CHATGPT!F16+GEMINI!F16+DEEPSEEK!F16)/4</f>
        <v>0</v>
      </c>
    </row>
    <row r="17" spans="1:13" ht="54.95" customHeight="1" thickBot="1" x14ac:dyDescent="0.3">
      <c r="A17" s="17">
        <f>'התיק העדכני'!E17</f>
        <v>0</v>
      </c>
      <c r="B17" s="17">
        <f>'התיק העדכני'!A17</f>
        <v>0</v>
      </c>
      <c r="C17" s="18">
        <f>'התיק העדכני'!H17</f>
        <v>0</v>
      </c>
      <c r="D17" s="19">
        <f>'התיק העדכני'!G17</f>
        <v>0</v>
      </c>
      <c r="E17" s="16"/>
      <c r="F17" s="16"/>
      <c r="G17" s="10"/>
      <c r="I17" s="13">
        <f>'התיק העדכני'!I17</f>
        <v>0</v>
      </c>
      <c r="L17" s="21">
        <f>(E17+CHATGPT!E17+GEMINI!E17+DEEPSEEK!E17)/4</f>
        <v>0</v>
      </c>
      <c r="M17" s="21">
        <f>(F17+CHATGPT!F17+GEMINI!F17+DEEPSEEK!F17)/4</f>
        <v>0</v>
      </c>
    </row>
    <row r="18" spans="1:13" ht="54.95" customHeight="1" thickBot="1" x14ac:dyDescent="0.3">
      <c r="A18" s="17">
        <f>'התיק העדכני'!E18</f>
        <v>0</v>
      </c>
      <c r="B18" s="17">
        <f>'התיק העדכני'!A18</f>
        <v>0</v>
      </c>
      <c r="C18" s="18">
        <f>'התיק העדכני'!H18</f>
        <v>0</v>
      </c>
      <c r="D18" s="19">
        <f>'התיק העדכני'!G18</f>
        <v>0</v>
      </c>
      <c r="E18" s="16"/>
      <c r="F18" s="16"/>
      <c r="I18" s="13">
        <f>'התיק העדכני'!I18</f>
        <v>0</v>
      </c>
      <c r="L18" s="21">
        <f>(E18+CHATGPT!E18+GEMINI!E18+DEEPSEEK!E18)/4</f>
        <v>0</v>
      </c>
      <c r="M18" s="21">
        <f>(F18+CHATGPT!F18+GEMINI!F18+DEEPSEEK!F18)/4</f>
        <v>0</v>
      </c>
    </row>
    <row r="19" spans="1:13" ht="54.95" customHeight="1" thickBot="1" x14ac:dyDescent="0.3">
      <c r="A19" s="17">
        <f>'התיק העדכני'!E19</f>
        <v>0</v>
      </c>
      <c r="B19" s="17">
        <f>'התיק העדכני'!A19</f>
        <v>0</v>
      </c>
      <c r="C19" s="18">
        <f>'התיק העדכני'!H19</f>
        <v>0</v>
      </c>
      <c r="D19" s="19">
        <f>'התיק העדכני'!G19</f>
        <v>0</v>
      </c>
      <c r="E19" s="16"/>
      <c r="F19" s="16"/>
      <c r="I19" s="13">
        <f>'התיק העדכני'!I19</f>
        <v>0</v>
      </c>
      <c r="L19" s="21">
        <f>(E19+CHATGPT!E19+GEMINI!E19+DEEPSEEK!E19)/4</f>
        <v>0</v>
      </c>
      <c r="M19" s="21">
        <f>(F19+CHATGPT!F19+GEMINI!F19+DEEPSEEK!F19)/4</f>
        <v>0</v>
      </c>
    </row>
    <row r="20" spans="1:13" ht="54.95" customHeight="1" thickBot="1" x14ac:dyDescent="0.3">
      <c r="A20" s="17"/>
      <c r="B20" s="17"/>
      <c r="C20" s="18">
        <f>'התיק העדכני'!H20</f>
        <v>0</v>
      </c>
      <c r="D20" s="19">
        <f>'התיק העדכני'!G20</f>
        <v>0</v>
      </c>
      <c r="E20" s="16"/>
      <c r="F20" s="16"/>
      <c r="G20" s="10"/>
      <c r="I20" s="13">
        <f>'התיק העדכני'!I20</f>
        <v>0</v>
      </c>
      <c r="L20" s="21">
        <f>(E20+CHATGPT!E20+GEMINI!E20+DEEPSEEK!E20)/4</f>
        <v>0</v>
      </c>
      <c r="M20" s="21">
        <f>(F20+CHATGPT!F20+GEMINI!F20+DEEPSEEK!F20)/4</f>
        <v>0</v>
      </c>
    </row>
    <row r="21" spans="1:13" ht="54.95" customHeight="1" thickBot="1" x14ac:dyDescent="0.3">
      <c r="A21" s="17">
        <f>'התיק העדכני'!E21</f>
        <v>0</v>
      </c>
      <c r="B21" s="17">
        <f>'התיק העדכני'!A21</f>
        <v>0</v>
      </c>
      <c r="C21" s="18">
        <f>'התיק העדכני'!H21</f>
        <v>0</v>
      </c>
      <c r="D21" s="19">
        <f>'התיק העדכני'!G21</f>
        <v>0</v>
      </c>
      <c r="E21" s="16"/>
      <c r="F21" s="16"/>
      <c r="G21" s="10"/>
      <c r="I21" s="13"/>
      <c r="L21" s="21"/>
      <c r="M21" s="21"/>
    </row>
    <row r="22" spans="1:13" ht="54.95" customHeight="1" thickBot="1" x14ac:dyDescent="0.3">
      <c r="A22" s="17"/>
      <c r="B22" s="17"/>
      <c r="C22" s="18"/>
      <c r="D22" s="19"/>
      <c r="E22" s="16"/>
      <c r="F22" s="16"/>
      <c r="G22" s="10"/>
      <c r="I22" s="13"/>
      <c r="L22" s="21"/>
      <c r="M22" s="21"/>
    </row>
    <row r="23" spans="1:13" ht="54.95" customHeight="1" thickBot="1" x14ac:dyDescent="0.3">
      <c r="A23" s="17"/>
      <c r="B23" s="17"/>
      <c r="C23" s="18"/>
      <c r="D23" s="19"/>
      <c r="E23" s="16"/>
      <c r="F23" s="16"/>
      <c r="G23" s="10"/>
      <c r="I23" s="13"/>
      <c r="L23" s="21"/>
      <c r="M23" s="21"/>
    </row>
    <row r="24" spans="1:13" ht="54.95" customHeight="1" thickBot="1" x14ac:dyDescent="0.3">
      <c r="A24" s="17"/>
      <c r="B24" s="17"/>
      <c r="C24" s="18"/>
      <c r="D24" s="19"/>
      <c r="E24" s="16"/>
      <c r="F24" s="16"/>
      <c r="G24" s="10"/>
      <c r="I24" s="13"/>
      <c r="L24" s="21"/>
      <c r="M24" s="21"/>
    </row>
    <row r="25" spans="1:13" ht="54.95" customHeight="1" thickBot="1" x14ac:dyDescent="0.3">
      <c r="A25" s="17"/>
      <c r="B25" s="17"/>
      <c r="C25" s="18"/>
      <c r="D25" s="19"/>
      <c r="E25" s="16"/>
      <c r="F25" s="16"/>
      <c r="G25" s="8"/>
      <c r="I25" s="13"/>
      <c r="L25" s="21"/>
      <c r="M25" s="21"/>
    </row>
    <row r="26" spans="1:13" ht="54.95" customHeight="1" thickBot="1" x14ac:dyDescent="0.3">
      <c r="A26" s="17"/>
      <c r="B26" s="17"/>
      <c r="C26" s="18"/>
      <c r="D26" s="19"/>
      <c r="E26" s="16"/>
      <c r="F26" s="16"/>
      <c r="G26" s="8"/>
      <c r="I26" s="13"/>
      <c r="L26" s="21"/>
      <c r="M26" s="21"/>
    </row>
    <row r="27" spans="1:13" ht="54.95" customHeight="1" thickBot="1" x14ac:dyDescent="0.3">
      <c r="A27" s="17"/>
      <c r="B27" s="17"/>
      <c r="C27" s="18"/>
      <c r="D27" s="19"/>
      <c r="E27" s="16"/>
      <c r="F27" s="16"/>
      <c r="G27" s="8"/>
      <c r="I27" s="13"/>
      <c r="L27" s="21"/>
      <c r="M27" s="21"/>
    </row>
    <row r="28" spans="1:13" ht="54.95" customHeight="1" thickBot="1" x14ac:dyDescent="0.3">
      <c r="A28" s="17"/>
      <c r="B28" s="17"/>
      <c r="C28" s="18"/>
      <c r="D28" s="19"/>
      <c r="E28" s="16"/>
      <c r="F28" s="16"/>
      <c r="G28" s="8"/>
      <c r="I28" s="13"/>
      <c r="L28" s="21"/>
      <c r="M28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D65C-237D-4544-BBD1-8A37190947C4}">
  <dimension ref="A1:M28"/>
  <sheetViews>
    <sheetView topLeftCell="A7" zoomScale="85" zoomScaleNormal="85" workbookViewId="0">
      <selection activeCell="E10" sqref="E10"/>
    </sheetView>
  </sheetViews>
  <sheetFormatPr defaultRowHeight="15" x14ac:dyDescent="0.25"/>
  <cols>
    <col min="1" max="2" width="17.5703125" style="20" customWidth="1"/>
    <col min="3" max="5" width="17.5703125" customWidth="1"/>
    <col min="6" max="6" width="20.42578125" customWidth="1"/>
    <col min="9" max="9" width="17.5703125" customWidth="1"/>
    <col min="12" max="13" width="17.5703125" style="20" customWidth="1"/>
  </cols>
  <sheetData>
    <row r="1" spans="1:13" ht="54.95" customHeight="1" thickBot="1" x14ac:dyDescent="0.3">
      <c r="A1" s="17" t="s">
        <v>17</v>
      </c>
      <c r="B1" s="22" t="s">
        <v>11</v>
      </c>
      <c r="C1" s="7" t="s">
        <v>18</v>
      </c>
      <c r="D1" s="7" t="s">
        <v>13</v>
      </c>
      <c r="E1" s="7" t="s">
        <v>25</v>
      </c>
      <c r="F1" s="7" t="s">
        <v>26</v>
      </c>
      <c r="I1" s="6" t="s">
        <v>6</v>
      </c>
      <c r="L1" s="17" t="s">
        <v>25</v>
      </c>
      <c r="M1" s="17" t="s">
        <v>26</v>
      </c>
    </row>
    <row r="2" spans="1:13" ht="54.95" customHeight="1" thickBot="1" x14ac:dyDescent="0.35">
      <c r="A2" s="17" t="str">
        <f>'התיק העדכני'!E2</f>
        <v>אייראנג'י טק</v>
      </c>
      <c r="B2" s="17">
        <f>'התיק העדכני'!A2</f>
        <v>1105907</v>
      </c>
      <c r="C2" s="18">
        <f>'התיק העדכני'!H2</f>
        <v>774.5</v>
      </c>
      <c r="D2" s="19">
        <f>'התיק העדכני'!G2</f>
        <v>0</v>
      </c>
      <c r="E2" s="17">
        <v>740</v>
      </c>
      <c r="F2" s="17">
        <v>820</v>
      </c>
      <c r="G2" s="31"/>
      <c r="I2" s="13">
        <f>'התיק העדכני'!I2</f>
        <v>935</v>
      </c>
      <c r="L2" s="21">
        <f>(E2+CHATGPT!E2+PERPLIXITY!E2+GEMINI!E2)/4</f>
        <v>742.75</v>
      </c>
      <c r="M2" s="21">
        <f>(F2+CHATGPT!F2+PERPLIXITY!F2+GEMINI!F2)/4</f>
        <v>916</v>
      </c>
    </row>
    <row r="3" spans="1:13" ht="54.95" customHeight="1" thickBot="1" x14ac:dyDescent="0.35">
      <c r="A3" s="17" t="str">
        <f>'התיק העדכני'!E3</f>
        <v>אירודרום קבוצה</v>
      </c>
      <c r="B3" s="17">
        <f>'התיק העדכני'!A3</f>
        <v>363010</v>
      </c>
      <c r="C3" s="18">
        <f>'התיק העדכני'!H3</f>
        <v>74.900000000000006</v>
      </c>
      <c r="D3" s="19">
        <f>'התיק העדכני'!G3</f>
        <v>600</v>
      </c>
      <c r="E3" s="16">
        <v>68</v>
      </c>
      <c r="F3" s="16">
        <v>90</v>
      </c>
      <c r="G3" s="31"/>
      <c r="I3" s="13">
        <f>'התיק העדכני'!I3</f>
        <v>73.7</v>
      </c>
      <c r="L3" s="21">
        <f>(E3+CHATGPT!E3+PERPLIXITY!E3+GEMINI!E3)/4</f>
        <v>53</v>
      </c>
      <c r="M3" s="21">
        <f>(F3+CHATGPT!F3+PERPLIXITY!F3+GEMINI!F3)/4</f>
        <v>96.75</v>
      </c>
    </row>
    <row r="4" spans="1:13" ht="54.95" customHeight="1" thickBot="1" x14ac:dyDescent="0.3">
      <c r="A4" s="17" t="str">
        <f>'התיק העדכני'!E4</f>
        <v>ארית תעשיות</v>
      </c>
      <c r="B4" s="17">
        <f>'התיק העדכני'!A4</f>
        <v>587014</v>
      </c>
      <c r="C4" s="18">
        <f>'התיק העדכני'!H4</f>
        <v>5925</v>
      </c>
      <c r="D4" s="19">
        <f>'התיק העדכני'!G4</f>
        <v>20</v>
      </c>
      <c r="E4" s="16">
        <v>6350</v>
      </c>
      <c r="F4" s="16">
        <v>7200</v>
      </c>
      <c r="I4" s="13">
        <f>'התיק העדכני'!I4</f>
        <v>6055</v>
      </c>
      <c r="L4" s="21">
        <f>(E4+CHATGPT!E4+PERPLIXITY!E4+GEMINI!E4)/4</f>
        <v>5855</v>
      </c>
      <c r="M4" s="21">
        <f>(F4+CHATGPT!F4+PERPLIXITY!F4+GEMINI!F4)/4</f>
        <v>7050</v>
      </c>
    </row>
    <row r="5" spans="1:13" ht="54.95" customHeight="1" thickBot="1" x14ac:dyDescent="0.35">
      <c r="A5" s="17" t="str">
        <f>'התיק העדכני'!E5</f>
        <v>ג'ין טכנולוגיות</v>
      </c>
      <c r="B5" s="17">
        <f>'התיק העדכני'!A5</f>
        <v>1099787</v>
      </c>
      <c r="C5" s="18">
        <f>'התיק העדכני'!H5</f>
        <v>620</v>
      </c>
      <c r="D5" s="19">
        <f>'התיק העדכני'!G5</f>
        <v>0</v>
      </c>
      <c r="E5" s="16">
        <v>595</v>
      </c>
      <c r="F5" s="16">
        <v>730</v>
      </c>
      <c r="G5" s="31"/>
      <c r="I5" s="13">
        <f>'התיק העדכני'!I5</f>
        <v>510.2</v>
      </c>
      <c r="L5" s="21">
        <f>(E5+CHATGPT!E5+PERPLIXITY!E5+GEMINI!E5)/4</f>
        <v>598.25</v>
      </c>
      <c r="M5" s="21">
        <f>(F5+CHATGPT!F5+PERPLIXITY!F5+GEMINI!F5)/4</f>
        <v>741.25</v>
      </c>
    </row>
    <row r="6" spans="1:13" ht="54.95" customHeight="1" thickBot="1" x14ac:dyDescent="0.35">
      <c r="A6" s="17" t="str">
        <f>'התיק העדכני'!E6</f>
        <v>דוראל אנרגיה</v>
      </c>
      <c r="B6" s="17">
        <f>'התיק העדכני'!A6</f>
        <v>1166768</v>
      </c>
      <c r="C6" s="18">
        <f>'התיק העדכני'!H6</f>
        <v>4264.16</v>
      </c>
      <c r="D6" s="19">
        <f>'התיק העדכני'!G6</f>
        <v>30</v>
      </c>
      <c r="E6" s="16">
        <v>4300</v>
      </c>
      <c r="F6" s="16">
        <v>5500</v>
      </c>
      <c r="G6" s="31"/>
      <c r="I6" s="13">
        <f>'התיק העדכני'!I6</f>
        <v>6221</v>
      </c>
      <c r="L6" s="21">
        <f>(E6+CHATGPT!E6+PERPLIXITY!E6+GEMINI!E6)/4</f>
        <v>4425</v>
      </c>
      <c r="M6" s="21">
        <f>(F6+CHATGPT!F6+PERPLIXITY!F6+GEMINI!F6)/4</f>
        <v>5480</v>
      </c>
    </row>
    <row r="7" spans="1:13" ht="54.95" customHeight="1" thickBot="1" x14ac:dyDescent="0.3">
      <c r="A7" s="17" t="str">
        <f>'התיק העדכני'!E7</f>
        <v>הראל סל ת"א 125</v>
      </c>
      <c r="B7" s="17">
        <f>'התיק העדכני'!A7</f>
        <v>1148899</v>
      </c>
      <c r="C7" s="18">
        <f>'התיק העדכני'!H7</f>
        <v>3585</v>
      </c>
      <c r="D7" s="19">
        <f>'התיק העדכני'!G7</f>
        <v>70</v>
      </c>
      <c r="E7" s="16">
        <v>3800</v>
      </c>
      <c r="F7" s="16">
        <v>4100</v>
      </c>
      <c r="I7" s="13">
        <f>'התיק העדכני'!I7</f>
        <v>4109</v>
      </c>
      <c r="L7" s="21">
        <f>(E7+CHATGPT!E7+PERPLIXITY!E7+GEMINI!E7)/4</f>
        <v>3737.5</v>
      </c>
      <c r="M7" s="21">
        <f>(F7+CHATGPT!F7+PERPLIXITY!F7+GEMINI!F7)/4</f>
        <v>4350</v>
      </c>
    </row>
    <row r="8" spans="1:13" ht="54.95" customHeight="1" thickBot="1" x14ac:dyDescent="0.35">
      <c r="A8" s="17" t="str">
        <f>'התיק העדכני'!E8</f>
        <v>טאואר</v>
      </c>
      <c r="B8" s="17">
        <f>'התיק העדכני'!A8</f>
        <v>1082379</v>
      </c>
      <c r="C8" s="18">
        <f>'התיק העדכני'!H8</f>
        <v>39632.5</v>
      </c>
      <c r="D8" s="19">
        <f>'התיק העדכני'!G8</f>
        <v>4</v>
      </c>
      <c r="E8" s="16">
        <v>39000</v>
      </c>
      <c r="F8" s="16">
        <v>43000</v>
      </c>
      <c r="G8" s="31"/>
      <c r="I8" s="13">
        <f>'התיק העדכני'!I8</f>
        <v>40940</v>
      </c>
      <c r="L8" s="21">
        <f>(E8+CHATGPT!E8+PERPLIXITY!E8+GEMINI!E8)/4</f>
        <v>41525</v>
      </c>
      <c r="M8" s="21">
        <f>(F8+CHATGPT!F8+PERPLIXITY!F8+GEMINI!F8)/4</f>
        <v>48125</v>
      </c>
    </row>
    <row r="9" spans="1:13" ht="54.95" customHeight="1" thickBot="1" x14ac:dyDescent="0.35">
      <c r="A9" s="17" t="str">
        <f>'התיק העדכני'!E9</f>
        <v>משק אנרגיה</v>
      </c>
      <c r="B9" s="17">
        <f>'התיק העדכני'!A9</f>
        <v>1166974</v>
      </c>
      <c r="C9" s="18">
        <f>'התיק העדכני'!H9</f>
        <v>901.87</v>
      </c>
      <c r="D9" s="19">
        <f>'התיק העדכני'!G9</f>
        <v>80</v>
      </c>
      <c r="E9" s="16">
        <v>1000</v>
      </c>
      <c r="F9" s="16">
        <v>1300</v>
      </c>
      <c r="G9" s="31"/>
      <c r="I9" s="13">
        <f>'התיק העדכני'!I9</f>
        <v>1037</v>
      </c>
      <c r="L9" s="21">
        <f>(E9+CHATGPT!E9+PERPLIXITY!E9+GEMINI!E9)/4</f>
        <v>981.25</v>
      </c>
      <c r="M9" s="21">
        <f>(F9+CHATGPT!F9+PERPLIXITY!F9+GEMINI!F9)/4</f>
        <v>1245</v>
      </c>
    </row>
    <row r="10" spans="1:13" ht="54.95" customHeight="1" thickBot="1" x14ac:dyDescent="0.35">
      <c r="A10" s="17" t="str">
        <f>'התיק העדכני'!E10</f>
        <v>סטורג' דרופ</v>
      </c>
      <c r="B10" s="17">
        <f>'התיק העדכני'!A10</f>
        <v>1122654</v>
      </c>
      <c r="C10" s="18">
        <f>'התיק העדכני'!H10</f>
        <v>93.13</v>
      </c>
      <c r="D10" s="19">
        <f>'התיק העדכני'!G10</f>
        <v>300</v>
      </c>
      <c r="E10" s="16">
        <v>65</v>
      </c>
      <c r="F10" s="16">
        <v>90</v>
      </c>
      <c r="G10" s="31"/>
      <c r="I10" s="13">
        <f>'התיק העדכני'!I10</f>
        <v>72.400000000000006</v>
      </c>
      <c r="L10" s="21">
        <f>(E10+CHATGPT!E10+PERPLIXITY!E10+GEMINI!E10)/4</f>
        <v>63.5</v>
      </c>
      <c r="M10" s="21">
        <f>(F10+CHATGPT!F10+PERPLIXITY!F10+GEMINI!F10)/4</f>
        <v>93.25</v>
      </c>
    </row>
    <row r="11" spans="1:13" ht="54.95" customHeight="1" thickBot="1" x14ac:dyDescent="0.35">
      <c r="A11" s="17" t="str">
        <f>'התיק העדכני'!E11</f>
        <v>פועלים</v>
      </c>
      <c r="B11" s="17">
        <f>'התיק העדכני'!A11</f>
        <v>662577</v>
      </c>
      <c r="C11" s="18">
        <f>'התיק העדכני'!H11</f>
        <v>7204.22</v>
      </c>
      <c r="D11" s="19">
        <f>'התיק העדכני'!G11</f>
        <v>9</v>
      </c>
      <c r="E11" s="16">
        <v>7400</v>
      </c>
      <c r="F11" s="16">
        <v>8200</v>
      </c>
      <c r="G11" s="31"/>
      <c r="I11" s="13">
        <f>'התיק העדכני'!I11</f>
        <v>8253</v>
      </c>
      <c r="L11" s="21">
        <f>(E11+CHATGPT!E11+PERPLIXITY!E11+GEMINI!E11)/4</f>
        <v>7632.5</v>
      </c>
      <c r="M11" s="21">
        <f>(F11+CHATGPT!F11+PERPLIXITY!F11+GEMINI!F11)/4</f>
        <v>8700</v>
      </c>
    </row>
    <row r="12" spans="1:13" ht="54.95" customHeight="1" thickBot="1" x14ac:dyDescent="0.35">
      <c r="A12" s="17" t="str">
        <f>'התיק העדכני'!E12</f>
        <v>ISHARES MSCI GLOBAL SILVER M</v>
      </c>
      <c r="B12" s="17">
        <f>'התיק העדכני'!A12</f>
        <v>5137534</v>
      </c>
      <c r="C12" s="18">
        <f>'התיק העדכני'!H12</f>
        <v>11598.87</v>
      </c>
      <c r="D12" s="19">
        <f>'התיק העדכני'!G12</f>
        <v>8</v>
      </c>
      <c r="E12" s="16">
        <v>13800</v>
      </c>
      <c r="F12" s="16">
        <v>16000</v>
      </c>
      <c r="G12" s="31"/>
      <c r="I12" s="13">
        <f>'התיק העדכני'!I12</f>
        <v>12726.62</v>
      </c>
      <c r="L12" s="21">
        <f>(E12+CHATGPT!E12+PERPLIXITY!E12+GEMINI!E12)/4</f>
        <v>12742.5</v>
      </c>
      <c r="M12" s="21">
        <f>(F12+CHATGPT!F12+PERPLIXITY!F12+GEMINI!F12)/4</f>
        <v>15095</v>
      </c>
    </row>
    <row r="13" spans="1:13" ht="54.95" customHeight="1" thickBot="1" x14ac:dyDescent="0.35">
      <c r="A13" s="17" t="str">
        <f>'התיק העדכני'!E13</f>
        <v>MTF מחקה אינדקס תעשיה ישראל</v>
      </c>
      <c r="B13" s="17">
        <f>'התיק העדכני'!A13</f>
        <v>5135470</v>
      </c>
      <c r="C13" s="18">
        <f>'התיק העדכני'!H13</f>
        <v>197.23</v>
      </c>
      <c r="D13" s="19">
        <f>'התיק העדכני'!G13</f>
        <v>500</v>
      </c>
      <c r="E13" s="16">
        <v>208</v>
      </c>
      <c r="F13" s="16">
        <v>235</v>
      </c>
      <c r="G13" s="31"/>
      <c r="I13" s="13">
        <f>'התיק העדכני'!I13</f>
        <v>218.62</v>
      </c>
      <c r="L13" s="21">
        <f>(E13+CHATGPT!E13+PERPLIXITY!E13+GEMINI!E13)/4</f>
        <v>203.75</v>
      </c>
      <c r="M13" s="21">
        <f>(F13+CHATGPT!F13+PERPLIXITY!F13+GEMINI!F13)/4</f>
        <v>243.25</v>
      </c>
    </row>
    <row r="14" spans="1:13" ht="54.95" customHeight="1" thickBot="1" x14ac:dyDescent="0.35">
      <c r="A14" s="17" t="str">
        <f>'התיק העדכני'!E14</f>
        <v>MTF מחקה אינדקס Global Metals &amp; Minerals producers מנוטרלת דולר</v>
      </c>
      <c r="B14" s="17">
        <f>'התיק העדכני'!A14</f>
        <v>5134135</v>
      </c>
      <c r="C14" s="18">
        <f>'התיק העדכני'!H14</f>
        <v>159.02000000000001</v>
      </c>
      <c r="D14" s="19">
        <f>'התיק העדכני'!G14</f>
        <v>600</v>
      </c>
      <c r="E14" s="16">
        <v>174</v>
      </c>
      <c r="F14" s="16">
        <v>200</v>
      </c>
      <c r="G14" s="31"/>
      <c r="I14" s="13">
        <f>'התיק העדכני'!I14</f>
        <v>188.1</v>
      </c>
      <c r="L14" s="21">
        <f>(E14+CHATGPT!E14+PERPLIXITY!E14+GEMINI!E14)/4</f>
        <v>170.5</v>
      </c>
      <c r="M14" s="21">
        <f>(F14+CHATGPT!F14+PERPLIXITY!F14+GEMINI!F14)/4</f>
        <v>206</v>
      </c>
    </row>
    <row r="15" spans="1:13" ht="54.95" customHeight="1" thickBot="1" x14ac:dyDescent="0.3">
      <c r="A15" s="17" t="str">
        <f>'התיק העדכני'!E15</f>
        <v>MTF סל אינדקס אנרגיה מתחדשת</v>
      </c>
      <c r="B15" s="17">
        <f>'התיק העדכני'!A15</f>
        <v>1168723</v>
      </c>
      <c r="C15" s="18">
        <f>'התיק העדכני'!H15</f>
        <v>1523.63</v>
      </c>
      <c r="D15" s="19">
        <f>'התיק העדכני'!G15</f>
        <v>55</v>
      </c>
      <c r="E15" s="16">
        <v>1680</v>
      </c>
      <c r="F15" s="16">
        <v>1950</v>
      </c>
      <c r="I15" s="13">
        <f>'התיק העדכני'!I20</f>
        <v>0</v>
      </c>
      <c r="L15" s="21">
        <f>(E15+CHATGPT!E15+PERPLIXITY!E15+GEMINI!E15)/4</f>
        <v>1680.75</v>
      </c>
      <c r="M15" s="21">
        <f>(F15+CHATGPT!F15+PERPLIXITY!F15+GEMINI!F15)/4</f>
        <v>2053.25</v>
      </c>
    </row>
    <row r="16" spans="1:13" ht="54.95" customHeight="1" thickBot="1" x14ac:dyDescent="0.3">
      <c r="A16" s="17">
        <f>'התיק העדכני'!E16</f>
        <v>0</v>
      </c>
      <c r="B16" s="17">
        <f>'התיק העדכני'!A16</f>
        <v>0</v>
      </c>
      <c r="C16" s="18">
        <f>'התיק העדכני'!H16</f>
        <v>0</v>
      </c>
      <c r="D16" s="19">
        <f>'התיק העדכני'!G16</f>
        <v>0</v>
      </c>
      <c r="E16" s="16"/>
      <c r="F16" s="16"/>
      <c r="I16" s="13">
        <f>'התיק העדכני'!I15</f>
        <v>2033</v>
      </c>
      <c r="L16" s="21">
        <f>(E16+CHATGPT!E16+PERPLIXITY!E16+GEMINI!E16)/4</f>
        <v>0</v>
      </c>
      <c r="M16" s="21">
        <f>(F16+CHATGPT!F16+PERPLIXITY!F16+GEMINI!F16)/4</f>
        <v>0</v>
      </c>
    </row>
    <row r="17" spans="1:13" ht="54.95" customHeight="1" thickBot="1" x14ac:dyDescent="0.35">
      <c r="A17" s="17">
        <f>'התיק העדכני'!E17</f>
        <v>0</v>
      </c>
      <c r="B17" s="17">
        <f>'התיק העדכני'!A17</f>
        <v>0</v>
      </c>
      <c r="C17" s="18">
        <f>'התיק העדכני'!H17</f>
        <v>0</v>
      </c>
      <c r="D17" s="19">
        <f>'התיק העדכני'!G17</f>
        <v>0</v>
      </c>
      <c r="E17" s="16"/>
      <c r="F17" s="16"/>
      <c r="G17" s="31"/>
      <c r="I17" s="13">
        <f>'התיק העדכני'!I16</f>
        <v>0</v>
      </c>
      <c r="L17" s="21">
        <f>(E17+CHATGPT!E17+PERPLIXITY!E17+GEMINI!E17)/4</f>
        <v>0</v>
      </c>
      <c r="M17" s="21">
        <f>(F17+CHATGPT!F17+PERPLIXITY!F17+GEMINI!F17)/4</f>
        <v>0</v>
      </c>
    </row>
    <row r="18" spans="1:13" ht="54.95" customHeight="1" thickBot="1" x14ac:dyDescent="0.35">
      <c r="A18" s="17">
        <f>'התיק העדכני'!E18</f>
        <v>0</v>
      </c>
      <c r="B18" s="17">
        <f>'התיק העדכני'!A18</f>
        <v>0</v>
      </c>
      <c r="C18" s="18">
        <f>'התיק העדכני'!H18</f>
        <v>0</v>
      </c>
      <c r="D18" s="19">
        <f>'התיק העדכני'!G18</f>
        <v>0</v>
      </c>
      <c r="E18" s="16"/>
      <c r="F18" s="16"/>
      <c r="G18" s="31"/>
      <c r="I18" s="13">
        <f>'התיק העדכני'!I17</f>
        <v>0</v>
      </c>
      <c r="L18" s="21">
        <f>(E18+CHATGPT!E18+PERPLIXITY!E18+GEMINI!E18)/4</f>
        <v>0</v>
      </c>
      <c r="M18" s="21">
        <f>(F18+CHATGPT!F18+PERPLIXITY!F18+GEMINI!F18)/4</f>
        <v>0</v>
      </c>
    </row>
    <row r="19" spans="1:13" ht="54.95" customHeight="1" thickBot="1" x14ac:dyDescent="0.3">
      <c r="A19" s="17">
        <f>'התיק העדכני'!E19</f>
        <v>0</v>
      </c>
      <c r="B19" s="17">
        <f>'התיק העדכני'!A19</f>
        <v>0</v>
      </c>
      <c r="C19" s="18">
        <f>'התיק העדכני'!H19</f>
        <v>0</v>
      </c>
      <c r="D19" s="19">
        <f>'התיק העדכני'!G19</f>
        <v>0</v>
      </c>
      <c r="E19" s="16"/>
      <c r="F19" s="16"/>
      <c r="I19" s="13">
        <f>'התיק העדכני'!I18</f>
        <v>0</v>
      </c>
      <c r="L19" s="21">
        <f>(E19+CHATGPT!E19+PERPLIXITY!E19+GEMINI!E19)/4</f>
        <v>0</v>
      </c>
      <c r="M19" s="21">
        <f>(F19+CHATGPT!F19+PERPLIXITY!F19+GEMINI!F19)/4</f>
        <v>0</v>
      </c>
    </row>
    <row r="20" spans="1:13" ht="54.95" customHeight="1" thickBot="1" x14ac:dyDescent="0.3">
      <c r="A20" s="17"/>
      <c r="B20" s="17"/>
      <c r="C20" s="18">
        <f>'התיק העדכני'!H20</f>
        <v>0</v>
      </c>
      <c r="D20" s="19">
        <f>'התיק העדכני'!G20</f>
        <v>0</v>
      </c>
      <c r="E20" s="16"/>
      <c r="F20" s="16"/>
      <c r="I20" s="13">
        <f>'התיק העדכני'!I19</f>
        <v>0</v>
      </c>
      <c r="L20" s="21">
        <f>(E20+CHATGPT!E20+PERPLIXITY!E20+GEMINI!E20)/4</f>
        <v>0</v>
      </c>
      <c r="M20" s="21">
        <f>(F20+CHATGPT!F20+PERPLIXITY!F20+GEMINI!F20)/4</f>
        <v>0</v>
      </c>
    </row>
    <row r="21" spans="1:13" ht="54.95" customHeight="1" thickBot="1" x14ac:dyDescent="0.35">
      <c r="A21" s="17">
        <f>'התיק העדכני'!E21</f>
        <v>0</v>
      </c>
      <c r="B21" s="17">
        <f>'התיק העדכני'!A21</f>
        <v>0</v>
      </c>
      <c r="C21" s="18">
        <f>'התיק העדכני'!H21</f>
        <v>0</v>
      </c>
      <c r="D21" s="19">
        <f>'התיק העדכני'!G21</f>
        <v>0</v>
      </c>
      <c r="E21" s="16"/>
      <c r="F21" s="16"/>
      <c r="G21" s="31"/>
      <c r="I21" s="13">
        <f>'התיק העדכני'!I20</f>
        <v>0</v>
      </c>
      <c r="L21" s="21">
        <f>(E21+CHATGPT!E21+PERPLIXITY!E21+GEMINI!E21)/4</f>
        <v>0</v>
      </c>
      <c r="M21" s="21">
        <f>(F21+CHATGPT!F21+PERPLIXITY!F21+GEMINI!F21)/4</f>
        <v>0</v>
      </c>
    </row>
    <row r="22" spans="1:13" ht="54.95" customHeight="1" thickBot="1" x14ac:dyDescent="0.35">
      <c r="A22" s="17"/>
      <c r="B22" s="17"/>
      <c r="C22" s="18"/>
      <c r="D22" s="19"/>
      <c r="E22" s="16"/>
      <c r="F22" s="16"/>
      <c r="G22" s="31"/>
      <c r="I22" s="13"/>
      <c r="L22" s="21"/>
      <c r="M22" s="21"/>
    </row>
    <row r="23" spans="1:13" ht="54.95" customHeight="1" thickBot="1" x14ac:dyDescent="0.35">
      <c r="A23" s="17"/>
      <c r="B23" s="17"/>
      <c r="C23" s="18"/>
      <c r="D23" s="19"/>
      <c r="E23" s="16"/>
      <c r="F23" s="16"/>
      <c r="G23" s="31"/>
      <c r="I23" s="13"/>
      <c r="L23" s="21"/>
      <c r="M23" s="21"/>
    </row>
    <row r="24" spans="1:13" ht="54.95" customHeight="1" thickBot="1" x14ac:dyDescent="0.35">
      <c r="A24" s="17"/>
      <c r="B24" s="17"/>
      <c r="C24" s="18"/>
      <c r="D24" s="19"/>
      <c r="E24" s="16"/>
      <c r="F24" s="16"/>
      <c r="G24" s="31"/>
      <c r="I24" s="13"/>
      <c r="L24" s="21"/>
      <c r="M24" s="21"/>
    </row>
    <row r="25" spans="1:13" ht="54.95" customHeight="1" thickBot="1" x14ac:dyDescent="0.35">
      <c r="A25" s="17"/>
      <c r="B25" s="17"/>
      <c r="C25" s="18"/>
      <c r="D25" s="19"/>
      <c r="E25" s="16"/>
      <c r="F25" s="16"/>
      <c r="G25" s="31"/>
      <c r="I25" s="13"/>
      <c r="L25" s="21"/>
      <c r="M25" s="21"/>
    </row>
    <row r="26" spans="1:13" ht="54.95" customHeight="1" thickBot="1" x14ac:dyDescent="0.3">
      <c r="A26" s="17"/>
      <c r="B26" s="17"/>
      <c r="C26" s="18"/>
      <c r="D26" s="19"/>
      <c r="E26" s="16"/>
      <c r="F26" s="16"/>
      <c r="G26" s="8"/>
      <c r="I26" s="13"/>
      <c r="L26" s="21"/>
      <c r="M26" s="21"/>
    </row>
    <row r="27" spans="1:13" ht="54.95" customHeight="1" thickBot="1" x14ac:dyDescent="0.3">
      <c r="A27" s="17"/>
      <c r="B27" s="17"/>
      <c r="C27" s="18"/>
      <c r="D27" s="19"/>
      <c r="E27" s="16"/>
      <c r="F27" s="16"/>
      <c r="G27" s="8"/>
      <c r="I27" s="13"/>
      <c r="L27" s="21"/>
      <c r="M27" s="21"/>
    </row>
    <row r="28" spans="1:13" ht="54.95" customHeight="1" thickBot="1" x14ac:dyDescent="0.3">
      <c r="A28" s="17"/>
      <c r="B28" s="17"/>
      <c r="C28" s="18"/>
      <c r="D28" s="19"/>
      <c r="E28" s="16"/>
      <c r="F28" s="16"/>
      <c r="G28" s="8"/>
      <c r="I28" s="13"/>
      <c r="L28" s="21"/>
      <c r="M2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4CC530-2BCF-4B3C-8355-0AB18E65F5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התיק העדכני</vt:lpstr>
      <vt:lpstr>GEMINI</vt:lpstr>
      <vt:lpstr>CHATGPT</vt:lpstr>
      <vt:lpstr>PERPLIXITY</vt:lpstr>
      <vt:lpstr>DEEPSEEK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Aouizerats</dc:creator>
  <cp:lastModifiedBy>Bts Digiprint</cp:lastModifiedBy>
  <dcterms:created xsi:type="dcterms:W3CDTF">2025-11-02T13:05:09Z</dcterms:created>
  <dcterms:modified xsi:type="dcterms:W3CDTF">2026-02-18T15:52:16Z</dcterms:modified>
</cp:coreProperties>
</file>