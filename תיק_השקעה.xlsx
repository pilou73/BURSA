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2F9DF825-26D3-4F8E-879E-4E8489D130F2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M23" i="1"/>
  <c r="CE2" i="1"/>
  <c r="N23" i="1"/>
  <c r="O23" i="1"/>
  <c r="P23" i="1"/>
  <c r="Q23" i="1"/>
  <c r="I23" i="1"/>
  <c r="R23" i="1"/>
  <c r="S23" i="1"/>
  <c r="T23" i="1"/>
  <c r="U23" i="1"/>
  <c r="V23" i="1"/>
  <c r="W23" i="1"/>
  <c r="X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Z2" i="1"/>
  <c r="BY2" i="1"/>
  <c r="Y23" i="1"/>
  <c r="Z23" i="1"/>
  <c r="AA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Z13" i="1"/>
  <c r="BY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B23" i="1"/>
  <c r="AI23" i="1"/>
  <c r="AH23" i="1"/>
  <c r="AG23" i="1"/>
  <c r="AF23" i="1"/>
  <c r="AE23" i="1"/>
  <c r="AD23" i="1"/>
  <c r="AC23" i="1"/>
  <c r="BY5" i="1"/>
  <c r="CE6" i="1"/>
  <c r="BY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Z3" i="1"/>
  <c r="CB3" i="1"/>
  <c r="BY3" i="1"/>
  <c r="CE12" i="1"/>
  <c r="BY12" i="1" s="1"/>
  <c r="CE14" i="1"/>
  <c r="BY20" i="1"/>
  <c r="BZ7" i="1"/>
  <c r="BZ8" i="1"/>
  <c r="BZ9" i="1"/>
  <c r="BZ10" i="1"/>
  <c r="BZ11" i="1"/>
  <c r="BZ12" i="1"/>
  <c r="BZ14" i="1"/>
  <c r="BZ20" i="1"/>
  <c r="BZ6" i="1"/>
  <c r="BZ15" i="1"/>
  <c r="BZ16" i="1"/>
  <c r="BZ17" i="1"/>
  <c r="BZ18" i="1"/>
  <c r="BZ19" i="1"/>
  <c r="BZ4" i="1"/>
  <c r="BZ5" i="1"/>
  <c r="L21" i="2"/>
  <c r="M21" i="2"/>
  <c r="L22" i="2"/>
  <c r="M22" i="2"/>
  <c r="L23" i="2"/>
  <c r="M23" i="2"/>
  <c r="L24" i="2"/>
  <c r="M24" i="2"/>
  <c r="CE16" i="1"/>
  <c r="AJ23" i="1"/>
  <c r="BY19" i="1"/>
  <c r="BY7" i="1"/>
  <c r="C1" i="1"/>
  <c r="B1" i="1"/>
  <c r="AK23" i="1"/>
  <c r="L25" i="2"/>
  <c r="M25" i="2"/>
  <c r="L26" i="2"/>
  <c r="M26" i="2"/>
  <c r="L27" i="2"/>
  <c r="M27" i="2"/>
  <c r="L28" i="2"/>
  <c r="M28" i="2"/>
  <c r="AL23" i="1"/>
  <c r="CE17" i="1"/>
  <c r="BY17" i="1" s="1"/>
  <c r="CB17" i="1"/>
  <c r="AM23" i="1"/>
  <c r="CE15" i="1"/>
  <c r="BY15" i="1" s="1"/>
  <c r="CB15" i="1"/>
  <c r="AN23" i="1"/>
  <c r="AO23" i="1"/>
  <c r="AP23" i="1"/>
  <c r="AQ23" i="1"/>
  <c r="AR23" i="1"/>
  <c r="AS23" i="1"/>
  <c r="AU23" i="1"/>
  <c r="AV23" i="1"/>
  <c r="AT23" i="1"/>
  <c r="AW23" i="1"/>
  <c r="AY23" i="1"/>
  <c r="AZ23" i="1"/>
  <c r="BA23" i="1"/>
  <c r="BB23" i="1"/>
  <c r="CE9" i="1"/>
  <c r="BY9" i="1" s="1"/>
  <c r="BC23" i="1"/>
  <c r="BD23" i="1"/>
  <c r="CE8" i="1"/>
  <c r="BY8" i="1" s="1"/>
  <c r="CB6" i="1"/>
  <c r="BE23" i="1"/>
  <c r="BF23" i="1"/>
  <c r="BG23" i="1"/>
  <c r="BH23" i="1"/>
  <c r="CE4" i="1"/>
  <c r="BY4" i="1" s="1"/>
  <c r="CE10" i="1"/>
  <c r="BY10" i="1" s="1"/>
  <c r="CE11" i="1"/>
  <c r="BY11" i="1" s="1"/>
  <c r="BI23" i="1"/>
  <c r="BJ23" i="1"/>
  <c r="BK23" i="1"/>
  <c r="BL23" i="1"/>
  <c r="BM23" i="1"/>
  <c r="BO23" i="1"/>
  <c r="BN23" i="1"/>
  <c r="BZ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CA3" i="1"/>
  <c r="D20" i="1"/>
  <c r="CA17" i="1"/>
  <c r="CA15" i="1"/>
  <c r="AX23" i="1"/>
  <c r="CA9" i="1"/>
  <c r="CA8" i="1"/>
  <c r="CA11" i="1"/>
  <c r="BP23" i="1"/>
  <c r="CB10" i="1"/>
  <c r="BQ23" i="1"/>
  <c r="BR23" i="1"/>
  <c r="BS23" i="1"/>
  <c r="BT23" i="1"/>
  <c r="BX23" i="1"/>
  <c r="BW23" i="1"/>
  <c r="BV23" i="1"/>
  <c r="BU23" i="1"/>
  <c r="CB4" i="1"/>
  <c r="BY14" i="1"/>
  <c r="BY16" i="1"/>
  <c r="M3" i="5"/>
  <c r="M3" i="3"/>
  <c r="M3" i="4"/>
  <c r="L3" i="4"/>
  <c r="L3" i="5"/>
  <c r="L3" i="3"/>
  <c r="L3" i="2"/>
  <c r="M3" i="2"/>
  <c r="C3" i="1" s="1"/>
  <c r="CE18" i="1"/>
  <c r="BY18" i="1" s="1"/>
  <c r="CB14" i="1"/>
  <c r="CB18" i="1"/>
  <c r="CB16" i="1"/>
  <c r="CE24" i="1" l="1"/>
  <c r="BY24" i="1"/>
  <c r="D3" i="1"/>
  <c r="B3" i="1"/>
  <c r="CA18" i="1"/>
  <c r="CA4" i="1"/>
  <c r="CA10" i="1"/>
  <c r="CA16" i="1"/>
  <c r="CA14" i="1"/>
  <c r="CA6" i="1" l="1"/>
  <c r="CA24" i="1"/>
  <c r="CB24" i="1" l="1"/>
</calcChain>
</file>

<file path=xl/sharedStrings.xml><?xml version="1.0" encoding="utf-8"?>
<sst xmlns="http://schemas.openxmlformats.org/spreadsheetml/2006/main" count="137" uniqueCount="117">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</sst>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E25"/>
  <sheetViews>
    <sheetView tabSelected="1" topLeftCell="A13" zoomScale="80" zoomScaleNormal="80" workbookViewId="0">
      <selection activeCell="I15" sqref="I15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6" width="14.85546875" customWidth="1"/>
    <col min="67" max="76" width="12.7109375" bestFit="1" customWidth="1"/>
    <col min="77" max="77" width="13" bestFit="1" customWidth="1"/>
    <col min="78" max="78" width="13.140625" bestFit="1" customWidth="1"/>
    <col min="79" max="79" width="11" bestFit="1" customWidth="1"/>
    <col min="80" max="80" width="7.140625" bestFit="1" customWidth="1"/>
    <col min="83" max="83" width="11.5703125" customWidth="1"/>
  </cols>
  <sheetData>
    <row r="1" spans="1:83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116</v>
      </c>
      <c r="K1" s="6" t="s">
        <v>115</v>
      </c>
      <c r="L1" s="6" t="s">
        <v>114</v>
      </c>
      <c r="M1" s="6" t="s">
        <v>113</v>
      </c>
      <c r="N1" s="6" t="s">
        <v>111</v>
      </c>
      <c r="O1" s="6" t="s">
        <v>110</v>
      </c>
      <c r="P1" s="6" t="s">
        <v>109</v>
      </c>
      <c r="Q1" s="6" t="s">
        <v>108</v>
      </c>
      <c r="R1" s="6" t="s">
        <v>105</v>
      </c>
      <c r="S1" s="6" t="s">
        <v>103</v>
      </c>
      <c r="T1" s="6" t="s">
        <v>104</v>
      </c>
      <c r="U1" s="6" t="s">
        <v>101</v>
      </c>
      <c r="V1" s="6" t="s">
        <v>100</v>
      </c>
      <c r="W1" s="6" t="s">
        <v>99</v>
      </c>
      <c r="X1" s="6" t="s">
        <v>98</v>
      </c>
      <c r="Y1" s="6" t="s">
        <v>97</v>
      </c>
      <c r="Z1" s="6" t="s">
        <v>96</v>
      </c>
      <c r="AA1" s="6" t="s">
        <v>95</v>
      </c>
      <c r="AB1" s="6" t="s">
        <v>93</v>
      </c>
      <c r="AC1" s="6" t="s">
        <v>92</v>
      </c>
      <c r="AD1" s="6" t="s">
        <v>91</v>
      </c>
      <c r="AE1" s="6" t="s">
        <v>90</v>
      </c>
      <c r="AF1" s="6" t="s">
        <v>89</v>
      </c>
      <c r="AG1" s="6" t="s">
        <v>88</v>
      </c>
      <c r="AH1" s="6" t="s">
        <v>86</v>
      </c>
      <c r="AI1" s="6" t="s">
        <v>85</v>
      </c>
      <c r="AJ1" s="6" t="s">
        <v>82</v>
      </c>
      <c r="AK1" s="6" t="s">
        <v>81</v>
      </c>
      <c r="AL1" s="6" t="s">
        <v>80</v>
      </c>
      <c r="AM1" s="6" t="s">
        <v>78</v>
      </c>
      <c r="AN1" s="6" t="s">
        <v>76</v>
      </c>
      <c r="AO1" s="6" t="s">
        <v>74</v>
      </c>
      <c r="AP1" s="6" t="s">
        <v>73</v>
      </c>
      <c r="AQ1" s="6" t="s">
        <v>71</v>
      </c>
      <c r="AR1" s="6" t="s">
        <v>69</v>
      </c>
      <c r="AS1" s="6" t="s">
        <v>65</v>
      </c>
      <c r="AT1" s="6" t="s">
        <v>64</v>
      </c>
      <c r="AU1" s="6" t="s">
        <v>63</v>
      </c>
      <c r="AV1" s="6" t="s">
        <v>62</v>
      </c>
      <c r="AW1" s="6" t="s">
        <v>61</v>
      </c>
      <c r="AX1" s="6" t="s">
        <v>60</v>
      </c>
      <c r="AY1" s="6" t="s">
        <v>59</v>
      </c>
      <c r="AZ1" s="6" t="s">
        <v>58</v>
      </c>
      <c r="BA1" s="6" t="s">
        <v>57</v>
      </c>
      <c r="BB1" s="6" t="s">
        <v>55</v>
      </c>
      <c r="BC1" s="6" t="s">
        <v>54</v>
      </c>
      <c r="BD1" s="6" t="s">
        <v>53</v>
      </c>
      <c r="BE1" s="6" t="s">
        <v>51</v>
      </c>
      <c r="BF1" s="6" t="s">
        <v>50</v>
      </c>
      <c r="BG1" s="6" t="s">
        <v>49</v>
      </c>
      <c r="BH1" s="6" t="s">
        <v>48</v>
      </c>
      <c r="BI1" s="6" t="s">
        <v>47</v>
      </c>
      <c r="BJ1" s="6" t="s">
        <v>46</v>
      </c>
      <c r="BK1" s="6" t="s">
        <v>45</v>
      </c>
      <c r="BL1" s="6" t="s">
        <v>44</v>
      </c>
      <c r="BM1" s="6" t="s">
        <v>43</v>
      </c>
      <c r="BN1" s="6" t="s">
        <v>42</v>
      </c>
      <c r="BO1" s="6" t="s">
        <v>41</v>
      </c>
      <c r="BP1" s="6" t="s">
        <v>40</v>
      </c>
      <c r="BQ1" s="6" t="s">
        <v>38</v>
      </c>
      <c r="BR1" s="6" t="s">
        <v>37</v>
      </c>
      <c r="BS1" s="6" t="s">
        <v>36</v>
      </c>
      <c r="BT1" s="6" t="s">
        <v>35</v>
      </c>
      <c r="BU1" s="6" t="s">
        <v>34</v>
      </c>
      <c r="BV1" s="6" t="s">
        <v>32</v>
      </c>
      <c r="BW1" s="6" t="s">
        <v>31</v>
      </c>
      <c r="BX1" s="6" t="s">
        <v>30</v>
      </c>
      <c r="BY1" s="6" t="s">
        <v>7</v>
      </c>
      <c r="BZ1" s="6" t="s">
        <v>8</v>
      </c>
      <c r="CA1" s="6" t="s">
        <v>9</v>
      </c>
      <c r="CB1" s="6" t="s">
        <v>10</v>
      </c>
      <c r="CC1" s="12" t="s">
        <v>29</v>
      </c>
      <c r="CD1" s="12" t="s">
        <v>28</v>
      </c>
      <c r="CE1" s="12" t="s">
        <v>83</v>
      </c>
    </row>
    <row r="2" spans="1:83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112</v>
      </c>
      <c r="F2" s="4">
        <v>46063</v>
      </c>
      <c r="G2" s="27">
        <v>100</v>
      </c>
      <c r="H2" s="13">
        <v>774.5</v>
      </c>
      <c r="I2" s="13">
        <v>963.4</v>
      </c>
      <c r="J2" s="13">
        <v>897</v>
      </c>
      <c r="K2" s="13">
        <v>854.6</v>
      </c>
      <c r="L2" s="13">
        <v>846.8</v>
      </c>
      <c r="M2" s="13">
        <v>799.8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32"/>
      <c r="BR2" s="6"/>
      <c r="BS2" s="6"/>
      <c r="BT2" s="32"/>
      <c r="BU2" s="6"/>
      <c r="BV2" s="6"/>
      <c r="BW2" s="6"/>
      <c r="BX2" s="6"/>
      <c r="BY2" s="13">
        <f t="shared" ref="BY2:BY20" si="0">(G2*H2)/100-CE2</f>
        <v>774.5</v>
      </c>
      <c r="BZ2" s="13">
        <f t="shared" ref="BZ2:BZ20" si="1">(G2*H2)/100</f>
        <v>774.5</v>
      </c>
      <c r="CA2" s="6"/>
      <c r="CB2" s="6"/>
      <c r="CE2" s="15">
        <f>(CC2*CD2-CC2*H2)/100</f>
        <v>0</v>
      </c>
    </row>
    <row r="3" spans="1:83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0</v>
      </c>
      <c r="H3" s="13">
        <v>950</v>
      </c>
      <c r="I3" s="13">
        <v>833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4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29"/>
      <c r="BR3" s="13"/>
      <c r="BS3" s="13"/>
      <c r="BT3" s="29"/>
      <c r="BU3" s="13"/>
      <c r="BV3" s="13"/>
      <c r="BW3" s="13"/>
      <c r="BX3" s="13"/>
      <c r="BY3" s="13">
        <f t="shared" si="0"/>
        <v>0</v>
      </c>
      <c r="BZ3" s="13">
        <f t="shared" si="1"/>
        <v>0</v>
      </c>
      <c r="CA3" s="13">
        <f>(BZ3-BY3)</f>
        <v>0</v>
      </c>
      <c r="CB3" s="13">
        <f>((BP3-H3)/H3)*100</f>
        <v>-100</v>
      </c>
      <c r="CC3">
        <v>30</v>
      </c>
      <c r="CD3">
        <v>895</v>
      </c>
      <c r="CE3" s="15"/>
    </row>
    <row r="4" spans="1:83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5655</v>
      </c>
      <c r="J4" s="13">
        <v>5714</v>
      </c>
      <c r="K4" s="13">
        <v>5891</v>
      </c>
      <c r="L4" s="13">
        <v>6011</v>
      </c>
      <c r="M4" s="13">
        <v>5990</v>
      </c>
      <c r="N4" s="13">
        <v>5990</v>
      </c>
      <c r="O4" s="13">
        <v>5956</v>
      </c>
      <c r="P4" s="13">
        <v>6298</v>
      </c>
      <c r="Q4" s="13">
        <v>6295</v>
      </c>
      <c r="R4" s="13">
        <v>6370</v>
      </c>
      <c r="S4" s="13">
        <v>6140</v>
      </c>
      <c r="T4" s="13">
        <v>7252</v>
      </c>
      <c r="U4" s="13">
        <v>7120</v>
      </c>
      <c r="V4" s="13">
        <v>7048</v>
      </c>
      <c r="W4" s="13">
        <v>6979</v>
      </c>
      <c r="X4" s="13">
        <v>6680</v>
      </c>
      <c r="Y4" s="13">
        <v>6111</v>
      </c>
      <c r="Z4" s="13">
        <v>6050</v>
      </c>
      <c r="AA4" s="13">
        <v>6169</v>
      </c>
      <c r="AB4" s="13">
        <v>6300</v>
      </c>
      <c r="AC4" s="13">
        <v>6335</v>
      </c>
      <c r="AD4" s="13">
        <v>6335</v>
      </c>
      <c r="AE4" s="13">
        <v>6444</v>
      </c>
      <c r="AF4" s="13">
        <v>5749</v>
      </c>
      <c r="AG4" s="13">
        <v>5749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29"/>
      <c r="BR4" s="13"/>
      <c r="BS4" s="13"/>
      <c r="BT4" s="29"/>
      <c r="BU4" s="13"/>
      <c r="BV4" s="13"/>
      <c r="BW4" s="13"/>
      <c r="BX4" s="13"/>
      <c r="BY4" s="13">
        <f t="shared" si="0"/>
        <v>1185</v>
      </c>
      <c r="BZ4" s="13">
        <f t="shared" si="1"/>
        <v>1185</v>
      </c>
      <c r="CA4" s="13">
        <f>(BZ4-BY4)</f>
        <v>0</v>
      </c>
      <c r="CB4" s="13">
        <f>((BP4-H4)/H4)*100</f>
        <v>-100</v>
      </c>
      <c r="CE4" s="15">
        <f>(CC4*CD4-CC4*H4)/100</f>
        <v>0</v>
      </c>
    </row>
    <row r="5" spans="1:83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79</v>
      </c>
      <c r="H5" s="13">
        <v>617.53</v>
      </c>
      <c r="I5" s="13">
        <v>590.1</v>
      </c>
      <c r="J5" s="13">
        <v>579.5</v>
      </c>
      <c r="K5" s="13">
        <v>614.5</v>
      </c>
      <c r="L5" s="13">
        <v>642.20000000000005</v>
      </c>
      <c r="M5" s="13">
        <v>656.2</v>
      </c>
      <c r="N5" s="13">
        <v>622.4</v>
      </c>
      <c r="O5" s="13">
        <v>594.9</v>
      </c>
      <c r="P5" s="13">
        <v>638</v>
      </c>
      <c r="Q5" s="13">
        <v>587.5</v>
      </c>
      <c r="R5" s="13">
        <v>577.9</v>
      </c>
      <c r="S5" s="13">
        <v>559</v>
      </c>
      <c r="T5" s="13">
        <v>570</v>
      </c>
      <c r="U5" s="13">
        <v>575.70000000000005</v>
      </c>
      <c r="V5" s="13">
        <v>612.6</v>
      </c>
      <c r="W5" s="13">
        <v>638.29999999999995</v>
      </c>
      <c r="X5" s="13">
        <v>630.29999999999995</v>
      </c>
      <c r="Y5" s="13">
        <v>626</v>
      </c>
      <c r="Z5" s="13">
        <v>595.4</v>
      </c>
      <c r="AA5" s="13">
        <v>667.1</v>
      </c>
      <c r="AB5" s="13">
        <v>651</v>
      </c>
      <c r="AC5" s="13">
        <v>641.1</v>
      </c>
      <c r="AD5" s="13">
        <v>641.1</v>
      </c>
      <c r="AE5" s="13">
        <v>607.1</v>
      </c>
      <c r="AF5" s="13">
        <v>583</v>
      </c>
      <c r="AG5" s="13">
        <v>581.6</v>
      </c>
      <c r="AH5" s="13">
        <v>578.70000000000005</v>
      </c>
      <c r="AI5" s="13">
        <v>590</v>
      </c>
      <c r="AJ5" s="13">
        <v>554.70000000000005</v>
      </c>
      <c r="AK5" s="13">
        <v>511.8</v>
      </c>
      <c r="AL5" s="13">
        <v>487</v>
      </c>
      <c r="AM5" s="13">
        <v>478.8</v>
      </c>
      <c r="AN5" s="13">
        <v>485.5</v>
      </c>
      <c r="AO5" s="13">
        <v>453.4</v>
      </c>
      <c r="AP5" s="13">
        <v>426.1</v>
      </c>
      <c r="AQ5" s="13">
        <v>423.2</v>
      </c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29"/>
      <c r="BR5" s="13"/>
      <c r="BS5" s="13"/>
      <c r="BT5" s="29"/>
      <c r="BU5" s="13"/>
      <c r="BV5" s="13"/>
      <c r="BW5" s="13"/>
      <c r="BX5" s="13"/>
      <c r="BY5" s="13">
        <f t="shared" si="0"/>
        <v>487.84869999999995</v>
      </c>
      <c r="BZ5" s="13">
        <f t="shared" si="1"/>
        <v>487.84869999999995</v>
      </c>
      <c r="CA5" s="13"/>
      <c r="CB5" s="13"/>
      <c r="CE5" s="15"/>
    </row>
    <row r="6" spans="1:83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30</v>
      </c>
      <c r="H6" s="13">
        <v>4040</v>
      </c>
      <c r="I6" s="13">
        <v>5450</v>
      </c>
      <c r="J6" s="13">
        <v>5385</v>
      </c>
      <c r="K6" s="13">
        <v>5170</v>
      </c>
      <c r="L6" s="13">
        <v>5059</v>
      </c>
      <c r="M6" s="13">
        <v>4880</v>
      </c>
      <c r="N6" s="13">
        <v>4647</v>
      </c>
      <c r="O6" s="13">
        <v>4650</v>
      </c>
      <c r="P6" s="13">
        <v>4799</v>
      </c>
      <c r="Q6" s="13">
        <v>4740</v>
      </c>
      <c r="R6" s="13">
        <v>4350</v>
      </c>
      <c r="S6" s="13">
        <v>4355</v>
      </c>
      <c r="T6" s="13">
        <v>4500</v>
      </c>
      <c r="U6" s="13">
        <v>4424</v>
      </c>
      <c r="V6" s="13">
        <v>4412</v>
      </c>
      <c r="W6" s="13">
        <v>4450</v>
      </c>
      <c r="X6" s="13">
        <v>4238</v>
      </c>
      <c r="Y6" s="13">
        <v>3970</v>
      </c>
      <c r="Z6" s="13">
        <v>3870</v>
      </c>
      <c r="AA6" s="13">
        <v>3805</v>
      </c>
      <c r="AB6" s="13">
        <v>3667</v>
      </c>
      <c r="AC6" s="13">
        <v>3582</v>
      </c>
      <c r="AD6" s="13">
        <v>3582</v>
      </c>
      <c r="AE6" s="13">
        <v>3570</v>
      </c>
      <c r="AF6" s="13">
        <v>3619</v>
      </c>
      <c r="AG6" s="13">
        <v>3650</v>
      </c>
      <c r="AH6" s="13">
        <v>3720</v>
      </c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29"/>
      <c r="BR6" s="13"/>
      <c r="BS6" s="13"/>
      <c r="BT6" s="29"/>
      <c r="BU6" s="13"/>
      <c r="BV6" s="13"/>
      <c r="BW6" s="13"/>
      <c r="BY6" s="13">
        <f t="shared" si="0"/>
        <v>1235.7</v>
      </c>
      <c r="BZ6" s="13">
        <f t="shared" si="1"/>
        <v>1212</v>
      </c>
      <c r="CA6" s="13">
        <f t="shared" ref="CA6" si="2">(BZ6-BY6)</f>
        <v>-23.700000000000045</v>
      </c>
      <c r="CB6" s="13">
        <f>((BP6-H6)/H6)*100</f>
        <v>-100</v>
      </c>
      <c r="CC6">
        <v>5</v>
      </c>
      <c r="CD6">
        <v>3566</v>
      </c>
      <c r="CE6" s="15">
        <f>(CC6*CD6-CC6*H6)/100</f>
        <v>-23.7</v>
      </c>
    </row>
    <row r="7" spans="1:83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4074</v>
      </c>
      <c r="J7" s="13">
        <v>4093</v>
      </c>
      <c r="K7" s="13">
        <v>4069</v>
      </c>
      <c r="L7" s="13">
        <v>4085</v>
      </c>
      <c r="M7" s="13">
        <v>3996</v>
      </c>
      <c r="N7" s="13">
        <v>3954</v>
      </c>
      <c r="O7" s="13">
        <v>3955</v>
      </c>
      <c r="P7" s="13">
        <v>4022</v>
      </c>
      <c r="Q7" s="13">
        <v>4033</v>
      </c>
      <c r="R7" s="13">
        <v>3988</v>
      </c>
      <c r="S7" s="13">
        <v>3916</v>
      </c>
      <c r="T7" s="13">
        <v>3954</v>
      </c>
      <c r="U7" s="13">
        <v>3932</v>
      </c>
      <c r="V7" s="13">
        <v>3949</v>
      </c>
      <c r="W7" s="13">
        <v>3943</v>
      </c>
      <c r="X7" s="13">
        <v>3928</v>
      </c>
      <c r="Y7" s="13">
        <v>3913</v>
      </c>
      <c r="Z7" s="13">
        <v>3860</v>
      </c>
      <c r="AA7" s="13">
        <v>3893</v>
      </c>
      <c r="AB7" s="13">
        <v>3900</v>
      </c>
      <c r="AC7" s="13">
        <v>3842</v>
      </c>
      <c r="AD7" s="13">
        <v>3842</v>
      </c>
      <c r="AE7" s="13">
        <v>3841</v>
      </c>
      <c r="AF7" s="13">
        <v>3809</v>
      </c>
      <c r="AG7" s="13">
        <v>3810</v>
      </c>
      <c r="AH7" s="13">
        <v>3798</v>
      </c>
      <c r="AI7" s="13">
        <v>3713</v>
      </c>
      <c r="AJ7" s="13">
        <v>3657</v>
      </c>
      <c r="AK7" s="13">
        <v>3592</v>
      </c>
      <c r="AL7" s="13">
        <v>3621</v>
      </c>
      <c r="AM7" s="13">
        <v>3572</v>
      </c>
      <c r="AN7" s="13">
        <v>3580</v>
      </c>
      <c r="AO7" s="13">
        <v>3569</v>
      </c>
      <c r="AP7" s="13">
        <v>3659</v>
      </c>
      <c r="AQ7" s="13">
        <v>3656</v>
      </c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29"/>
      <c r="BR7" s="13"/>
      <c r="BS7" s="13"/>
      <c r="BT7" s="29"/>
      <c r="BU7" s="13"/>
      <c r="BV7" s="13"/>
      <c r="BW7" s="13"/>
      <c r="BX7" s="13"/>
      <c r="BY7" s="13">
        <f t="shared" si="0"/>
        <v>2509.5</v>
      </c>
      <c r="BZ7" s="13">
        <f t="shared" si="1"/>
        <v>2509.5</v>
      </c>
      <c r="CA7" s="13"/>
      <c r="CB7" s="13"/>
      <c r="CE7" s="15"/>
    </row>
    <row r="8" spans="1:83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4</v>
      </c>
      <c r="H8" s="13">
        <v>39632.5</v>
      </c>
      <c r="I8" s="13">
        <v>41300</v>
      </c>
      <c r="J8" s="13">
        <v>40180</v>
      </c>
      <c r="K8" s="13">
        <v>41140</v>
      </c>
      <c r="L8" s="13">
        <v>43310</v>
      </c>
      <c r="M8" s="13">
        <v>45300</v>
      </c>
      <c r="N8" s="13">
        <v>40740</v>
      </c>
      <c r="O8" s="13">
        <v>39070</v>
      </c>
      <c r="P8" s="13">
        <v>39600</v>
      </c>
      <c r="Q8" s="13">
        <v>43640</v>
      </c>
      <c r="R8" s="13">
        <v>42700</v>
      </c>
      <c r="S8" s="13">
        <v>42140</v>
      </c>
      <c r="T8" s="13">
        <v>43490</v>
      </c>
      <c r="U8" s="13">
        <v>40750</v>
      </c>
      <c r="V8" s="13">
        <v>40900</v>
      </c>
      <c r="W8" s="13">
        <v>40790</v>
      </c>
      <c r="X8" s="13">
        <v>40820</v>
      </c>
      <c r="Y8" s="13">
        <v>41570</v>
      </c>
      <c r="Z8" s="13">
        <v>42050</v>
      </c>
      <c r="AA8" s="13">
        <v>39960</v>
      </c>
      <c r="AB8" s="13">
        <v>39990</v>
      </c>
      <c r="AC8" s="13">
        <v>38680</v>
      </c>
      <c r="AD8" s="13">
        <v>38680</v>
      </c>
      <c r="AE8" s="13">
        <v>37770</v>
      </c>
      <c r="AF8" s="13">
        <v>36330</v>
      </c>
      <c r="AG8" s="13">
        <v>38680</v>
      </c>
      <c r="AH8" s="13">
        <v>39090</v>
      </c>
      <c r="AI8" s="13">
        <v>37300</v>
      </c>
      <c r="AJ8" s="13">
        <v>37650</v>
      </c>
      <c r="AK8" s="13">
        <v>37300</v>
      </c>
      <c r="AL8" s="13">
        <v>39450</v>
      </c>
      <c r="AM8" s="13">
        <v>38390</v>
      </c>
      <c r="AN8" s="13">
        <v>38800</v>
      </c>
      <c r="AO8" s="13">
        <v>38510</v>
      </c>
      <c r="AP8" s="13">
        <v>38970</v>
      </c>
      <c r="AQ8" s="13">
        <v>38970</v>
      </c>
      <c r="AR8" s="13">
        <v>37700</v>
      </c>
      <c r="AS8" s="13">
        <v>37700</v>
      </c>
      <c r="AT8" s="13">
        <v>37750</v>
      </c>
      <c r="AU8" s="13">
        <v>38430</v>
      </c>
      <c r="AV8" s="13">
        <v>38250</v>
      </c>
      <c r="AW8" s="13">
        <v>40110</v>
      </c>
      <c r="AX8" s="13">
        <v>40820</v>
      </c>
      <c r="AY8" s="13">
        <v>39320</v>
      </c>
      <c r="AZ8" s="13">
        <v>37800</v>
      </c>
      <c r="BA8" s="13">
        <v>36620</v>
      </c>
      <c r="BB8" s="13">
        <v>37130</v>
      </c>
      <c r="BC8" s="13">
        <v>35850</v>
      </c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29"/>
      <c r="BR8" s="13"/>
      <c r="BS8" s="13"/>
      <c r="BT8" s="29"/>
      <c r="BU8" s="13"/>
      <c r="BV8" s="13"/>
      <c r="BW8" s="13"/>
      <c r="BX8" s="13"/>
      <c r="BY8" s="13">
        <f t="shared" si="0"/>
        <v>1686.7749999999999</v>
      </c>
      <c r="BZ8" s="13">
        <f t="shared" si="1"/>
        <v>1585.3</v>
      </c>
      <c r="CA8" s="13">
        <f t="shared" ref="CA8:CA11" si="3">(BZ8-BY8)</f>
        <v>-101.47499999999991</v>
      </c>
      <c r="CB8" s="13"/>
      <c r="CC8">
        <v>3</v>
      </c>
      <c r="CD8">
        <v>36250</v>
      </c>
      <c r="CE8" s="15">
        <f t="shared" ref="CE8:CE18" si="4">(CC8*CD8-CC8*H8)/100</f>
        <v>-101.47499999999999</v>
      </c>
    </row>
    <row r="9" spans="1:83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10450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29"/>
      <c r="BR9" s="13"/>
      <c r="BS9" s="13"/>
      <c r="BT9" s="29"/>
      <c r="BU9" s="13"/>
      <c r="BV9" s="13"/>
      <c r="BW9" s="13"/>
      <c r="BX9" s="13"/>
      <c r="BY9" s="13">
        <f t="shared" si="0"/>
        <v>-38.65</v>
      </c>
      <c r="BZ9" s="13">
        <f t="shared" si="1"/>
        <v>0</v>
      </c>
      <c r="CA9" s="13">
        <f t="shared" si="3"/>
        <v>38.65</v>
      </c>
      <c r="CB9" s="13"/>
      <c r="CC9">
        <v>5</v>
      </c>
      <c r="CD9">
        <v>10000</v>
      </c>
      <c r="CE9" s="15">
        <f t="shared" si="4"/>
        <v>38.65</v>
      </c>
    </row>
    <row r="10" spans="1:83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4516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29"/>
      <c r="BR10" s="13"/>
      <c r="BS10" s="13"/>
      <c r="BT10" s="29"/>
      <c r="BU10" s="13"/>
      <c r="BV10" s="13"/>
      <c r="BW10" s="13"/>
      <c r="BX10" s="13"/>
      <c r="BY10" s="13">
        <f t="shared" si="0"/>
        <v>-87.859799999999964</v>
      </c>
      <c r="BZ10" s="13">
        <f t="shared" si="1"/>
        <v>0</v>
      </c>
      <c r="CA10" s="13">
        <f t="shared" si="3"/>
        <v>87.859799999999964</v>
      </c>
      <c r="CB10" s="13">
        <f>((BP10-H10)/H10)*100</f>
        <v>-100</v>
      </c>
      <c r="CC10">
        <v>21</v>
      </c>
      <c r="CD10">
        <v>5252.38</v>
      </c>
      <c r="CE10" s="15">
        <f t="shared" si="4"/>
        <v>87.859799999999964</v>
      </c>
    </row>
    <row r="11" spans="1:83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1060</v>
      </c>
      <c r="J11" s="13">
        <v>1050</v>
      </c>
      <c r="K11" s="13">
        <v>1074</v>
      </c>
      <c r="L11" s="13">
        <v>1070</v>
      </c>
      <c r="M11" s="13">
        <v>1086</v>
      </c>
      <c r="N11" s="13">
        <v>1054</v>
      </c>
      <c r="O11" s="13">
        <v>1063</v>
      </c>
      <c r="P11" s="13">
        <v>1099</v>
      </c>
      <c r="Q11" s="13">
        <v>1173</v>
      </c>
      <c r="R11" s="13">
        <v>1114</v>
      </c>
      <c r="S11" s="13">
        <v>1075</v>
      </c>
      <c r="T11" s="13">
        <v>1109</v>
      </c>
      <c r="U11" s="13">
        <v>1090</v>
      </c>
      <c r="V11" s="13">
        <v>1144</v>
      </c>
      <c r="W11" s="13">
        <v>1162</v>
      </c>
      <c r="X11" s="13">
        <v>1109</v>
      </c>
      <c r="Y11" s="13">
        <v>1029</v>
      </c>
      <c r="Z11" s="13">
        <v>993</v>
      </c>
      <c r="AA11" s="13">
        <v>1017</v>
      </c>
      <c r="AB11" s="13">
        <v>960</v>
      </c>
      <c r="AC11" s="13">
        <v>965</v>
      </c>
      <c r="AD11" s="13">
        <v>965</v>
      </c>
      <c r="AE11" s="13">
        <v>951.7</v>
      </c>
      <c r="AF11" s="13">
        <v>946</v>
      </c>
      <c r="AG11" s="13">
        <v>869.2</v>
      </c>
      <c r="AH11" s="13">
        <v>865</v>
      </c>
      <c r="AI11" s="13">
        <v>851</v>
      </c>
      <c r="AJ11" s="13">
        <v>829.3</v>
      </c>
      <c r="AK11" s="13">
        <v>830</v>
      </c>
      <c r="AL11" s="13">
        <v>810</v>
      </c>
      <c r="AM11" s="13">
        <v>812.8</v>
      </c>
      <c r="AN11" s="13">
        <v>788</v>
      </c>
      <c r="AO11" s="13">
        <v>772</v>
      </c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29"/>
      <c r="BR11" s="13"/>
      <c r="BS11" s="13"/>
      <c r="BT11" s="29"/>
      <c r="BU11" s="13"/>
      <c r="BV11" s="13"/>
      <c r="BW11" s="13"/>
      <c r="BX11" s="13"/>
      <c r="BY11" s="13">
        <f t="shared" si="0"/>
        <v>721.49600000000009</v>
      </c>
      <c r="BZ11" s="13">
        <f t="shared" si="1"/>
        <v>721.49600000000009</v>
      </c>
      <c r="CA11" s="13">
        <f t="shared" si="3"/>
        <v>0</v>
      </c>
      <c r="CB11" s="13"/>
      <c r="CE11" s="15">
        <f t="shared" si="4"/>
        <v>0</v>
      </c>
    </row>
    <row r="12" spans="1:83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28250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29"/>
      <c r="BR12" s="13"/>
      <c r="BS12" s="13"/>
      <c r="BT12" s="29"/>
      <c r="BU12" s="13"/>
      <c r="BV12" s="13"/>
      <c r="BW12" s="13"/>
      <c r="BX12" s="13"/>
      <c r="BY12" s="13">
        <f t="shared" si="0"/>
        <v>-331.70059999999995</v>
      </c>
      <c r="BZ12" s="13">
        <f t="shared" si="1"/>
        <v>0</v>
      </c>
      <c r="CA12" s="13"/>
      <c r="CB12" s="13"/>
      <c r="CC12">
        <v>7</v>
      </c>
      <c r="CD12">
        <v>27320</v>
      </c>
      <c r="CE12" s="15">
        <f t="shared" si="4"/>
        <v>331.70059999999995</v>
      </c>
    </row>
    <row r="13" spans="1:83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לשמור</v>
      </c>
      <c r="E13" s="5" t="s">
        <v>94</v>
      </c>
      <c r="F13" s="4">
        <v>46062</v>
      </c>
      <c r="G13" s="27">
        <v>0</v>
      </c>
      <c r="H13" s="13">
        <v>840</v>
      </c>
      <c r="I13" s="13">
        <v>860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29"/>
      <c r="BR13" s="13"/>
      <c r="BS13" s="13"/>
      <c r="BT13" s="29"/>
      <c r="BU13" s="13"/>
      <c r="BV13" s="13"/>
      <c r="BW13" s="13"/>
      <c r="BX13" s="13"/>
      <c r="BY13" s="13">
        <f t="shared" si="0"/>
        <v>0</v>
      </c>
      <c r="BZ13" s="13">
        <f t="shared" si="1"/>
        <v>0</v>
      </c>
      <c r="CA13" s="13"/>
      <c r="CB13" s="13"/>
      <c r="CC13">
        <v>163</v>
      </c>
      <c r="CE13" s="15"/>
    </row>
    <row r="14" spans="1:83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8294</v>
      </c>
      <c r="J14" s="13">
        <v>8429</v>
      </c>
      <c r="K14" s="13">
        <v>8276</v>
      </c>
      <c r="L14" s="13">
        <v>8280</v>
      </c>
      <c r="M14" s="13">
        <v>8100</v>
      </c>
      <c r="N14" s="13">
        <v>7922</v>
      </c>
      <c r="O14" s="13">
        <v>7884</v>
      </c>
      <c r="P14" s="13">
        <v>8051</v>
      </c>
      <c r="Q14" s="13">
        <v>7911</v>
      </c>
      <c r="R14" s="13">
        <v>7833</v>
      </c>
      <c r="S14" s="13">
        <v>7687</v>
      </c>
      <c r="T14" s="13">
        <v>7672</v>
      </c>
      <c r="U14" s="13">
        <v>7676</v>
      </c>
      <c r="V14" s="13">
        <v>7844</v>
      </c>
      <c r="W14" s="13">
        <v>7810</v>
      </c>
      <c r="X14" s="13">
        <v>7710</v>
      </c>
      <c r="Y14" s="13">
        <v>7735</v>
      </c>
      <c r="Z14" s="13">
        <v>7725</v>
      </c>
      <c r="AA14" s="13">
        <v>7787</v>
      </c>
      <c r="AB14" s="13">
        <v>7955</v>
      </c>
      <c r="AC14" s="13">
        <v>7627</v>
      </c>
      <c r="AD14" s="13">
        <v>7627</v>
      </c>
      <c r="AE14" s="13">
        <v>7656</v>
      </c>
      <c r="AF14" s="13">
        <v>7507</v>
      </c>
      <c r="AG14" s="13">
        <v>7590</v>
      </c>
      <c r="AH14" s="13">
        <v>7569</v>
      </c>
      <c r="AI14" s="13">
        <v>7269</v>
      </c>
      <c r="AJ14" s="13">
        <v>7444</v>
      </c>
      <c r="AK14" s="13">
        <v>7205</v>
      </c>
      <c r="AL14" s="13">
        <v>7298</v>
      </c>
      <c r="AM14" s="13">
        <v>7222</v>
      </c>
      <c r="AN14" s="13">
        <v>7079</v>
      </c>
      <c r="AO14" s="13">
        <v>7140</v>
      </c>
      <c r="AP14" s="13">
        <v>7440</v>
      </c>
      <c r="AQ14" s="13">
        <v>7530</v>
      </c>
      <c r="AR14" s="13">
        <v>7535</v>
      </c>
      <c r="AS14" s="13">
        <v>7535</v>
      </c>
      <c r="AT14" s="13">
        <v>7568</v>
      </c>
      <c r="AU14" s="13">
        <v>7699</v>
      </c>
      <c r="AV14" s="13">
        <v>7638</v>
      </c>
      <c r="AW14" s="13">
        <v>7654</v>
      </c>
      <c r="AX14" s="13">
        <v>7584</v>
      </c>
      <c r="AY14" s="13">
        <v>7479</v>
      </c>
      <c r="AZ14" s="13">
        <v>7490</v>
      </c>
      <c r="BA14" s="13">
        <v>7480</v>
      </c>
      <c r="BB14" s="13">
        <v>7270</v>
      </c>
      <c r="BC14" s="13">
        <v>7163</v>
      </c>
      <c r="BD14" s="13">
        <v>7231</v>
      </c>
      <c r="BE14" s="13">
        <v>7100</v>
      </c>
      <c r="BF14" s="13">
        <v>7100</v>
      </c>
      <c r="BG14" s="13">
        <v>7027</v>
      </c>
      <c r="BH14" s="13">
        <v>6984</v>
      </c>
      <c r="BI14" s="13">
        <v>6944</v>
      </c>
      <c r="BJ14" s="13">
        <v>6924</v>
      </c>
      <c r="BK14" s="13">
        <v>6930</v>
      </c>
      <c r="BL14" s="13">
        <v>6938</v>
      </c>
      <c r="BM14" s="13">
        <v>6989</v>
      </c>
      <c r="BN14" s="13">
        <v>6871</v>
      </c>
      <c r="BO14" s="13">
        <v>6943</v>
      </c>
      <c r="BP14" s="13">
        <v>7040</v>
      </c>
      <c r="BQ14" s="29">
        <v>6696</v>
      </c>
      <c r="BR14" s="13">
        <v>6965</v>
      </c>
      <c r="BS14" s="13">
        <v>6788</v>
      </c>
      <c r="BT14" s="29">
        <v>6696</v>
      </c>
      <c r="BU14" s="13">
        <v>6625</v>
      </c>
      <c r="BV14" s="13">
        <v>6660</v>
      </c>
      <c r="BW14" s="13">
        <v>6791</v>
      </c>
      <c r="BX14" s="13">
        <v>6610</v>
      </c>
      <c r="BY14" s="13">
        <f t="shared" si="0"/>
        <v>648.37980000000005</v>
      </c>
      <c r="BZ14" s="13">
        <f t="shared" si="1"/>
        <v>648.37980000000005</v>
      </c>
      <c r="CA14" s="13">
        <f t="shared" ref="CA14" si="5">(BZ14-BY14)</f>
        <v>0</v>
      </c>
      <c r="CB14" s="13">
        <f>((BP14-H14)/H14)*100</f>
        <v>-2.2794972946411995</v>
      </c>
      <c r="CE14" s="15">
        <f t="shared" si="4"/>
        <v>0</v>
      </c>
    </row>
    <row r="15" spans="1:83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12829.25</v>
      </c>
      <c r="J15" s="13">
        <v>13287.75</v>
      </c>
      <c r="K15" s="13">
        <v>13100</v>
      </c>
      <c r="L15" s="13">
        <v>12946.62</v>
      </c>
      <c r="M15" s="13">
        <v>13244</v>
      </c>
      <c r="N15" s="13">
        <v>12628.12</v>
      </c>
      <c r="O15" s="13">
        <v>11710.62</v>
      </c>
      <c r="P15" s="13">
        <v>12145</v>
      </c>
      <c r="Q15" s="13">
        <v>11855.12</v>
      </c>
      <c r="R15" s="13">
        <v>11946.75</v>
      </c>
      <c r="S15" s="13">
        <v>11946.75</v>
      </c>
      <c r="T15" s="13">
        <v>14679.12</v>
      </c>
      <c r="U15" s="13">
        <v>14679.12</v>
      </c>
      <c r="V15" s="13">
        <v>13968</v>
      </c>
      <c r="W15" s="13">
        <v>15528.12</v>
      </c>
      <c r="X15" s="13">
        <v>14358.25</v>
      </c>
      <c r="Y15" s="13">
        <v>14385.75</v>
      </c>
      <c r="Z15" s="13">
        <v>13880</v>
      </c>
      <c r="AA15" s="13">
        <v>13610.62</v>
      </c>
      <c r="AB15" s="13">
        <v>13016</v>
      </c>
      <c r="AC15" s="13">
        <v>12487.37</v>
      </c>
      <c r="AD15" s="13">
        <v>12638.62</v>
      </c>
      <c r="AE15" s="13">
        <v>12533.87</v>
      </c>
      <c r="AF15" s="13">
        <v>11299.5</v>
      </c>
      <c r="AG15" s="13">
        <v>11193.12</v>
      </c>
      <c r="AH15" s="13">
        <v>11548.62</v>
      </c>
      <c r="AI15" s="13">
        <v>11125.62</v>
      </c>
      <c r="AJ15" s="13">
        <v>10932.12</v>
      </c>
      <c r="AK15" s="13">
        <v>11095.62</v>
      </c>
      <c r="AL15" s="13">
        <v>10910.58</v>
      </c>
      <c r="AM15" s="13">
        <v>11609.37</v>
      </c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4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29"/>
      <c r="BR15" s="13"/>
      <c r="BS15" s="13"/>
      <c r="BT15" s="29"/>
      <c r="BU15" s="13"/>
      <c r="BV15" s="13"/>
      <c r="BW15" s="13"/>
      <c r="BX15" s="13"/>
      <c r="BY15" s="13">
        <f t="shared" si="0"/>
        <v>927.90960000000007</v>
      </c>
      <c r="BZ15" s="13">
        <f t="shared" si="1"/>
        <v>927.90960000000007</v>
      </c>
      <c r="CA15" s="13">
        <f t="shared" ref="CA15:CA18" si="6">(BZ15-BY15)</f>
        <v>0</v>
      </c>
      <c r="CB15" s="13">
        <f>((BP15-H15)/H15)*100</f>
        <v>-100</v>
      </c>
      <c r="CE15" s="15">
        <f t="shared" si="4"/>
        <v>0</v>
      </c>
    </row>
    <row r="16" spans="1:83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214.11</v>
      </c>
      <c r="J16" s="13">
        <v>216.07</v>
      </c>
      <c r="K16" s="13">
        <v>216.07</v>
      </c>
      <c r="L16" s="13">
        <v>219.37</v>
      </c>
      <c r="M16" s="13">
        <v>216</v>
      </c>
      <c r="N16" s="13">
        <v>216.57</v>
      </c>
      <c r="O16" s="13">
        <v>216.57</v>
      </c>
      <c r="P16" s="13">
        <v>221.02</v>
      </c>
      <c r="Q16" s="13">
        <v>218.38</v>
      </c>
      <c r="R16" s="13">
        <v>218.36</v>
      </c>
      <c r="S16" s="13">
        <v>223.13</v>
      </c>
      <c r="T16" s="13">
        <v>227.54</v>
      </c>
      <c r="U16" s="13">
        <v>226.96</v>
      </c>
      <c r="V16" s="13">
        <v>225.24</v>
      </c>
      <c r="W16" s="13">
        <v>223.25</v>
      </c>
      <c r="X16" s="13">
        <v>219.14</v>
      </c>
      <c r="Y16" s="13">
        <v>219.14</v>
      </c>
      <c r="Z16" s="13">
        <v>219.3</v>
      </c>
      <c r="AA16" s="13">
        <v>222.79</v>
      </c>
      <c r="AB16" s="13">
        <v>221.16</v>
      </c>
      <c r="AC16" s="13">
        <v>220.66</v>
      </c>
      <c r="AD16" s="13">
        <v>222.06</v>
      </c>
      <c r="AE16" s="13">
        <v>218.71</v>
      </c>
      <c r="AF16" s="13">
        <v>216.74</v>
      </c>
      <c r="AG16" s="13">
        <v>216.04</v>
      </c>
      <c r="AH16" s="13">
        <v>210.69</v>
      </c>
      <c r="AI16" s="13">
        <v>210.69</v>
      </c>
      <c r="AJ16" s="13">
        <v>198</v>
      </c>
      <c r="AK16" s="13">
        <v>196.74</v>
      </c>
      <c r="AL16" s="13">
        <v>192.56</v>
      </c>
      <c r="AM16" s="13">
        <v>192.23</v>
      </c>
      <c r="AN16" s="13">
        <v>191.19</v>
      </c>
      <c r="AO16" s="13">
        <v>193.62</v>
      </c>
      <c r="AP16" s="13">
        <v>190.75</v>
      </c>
      <c r="AQ16" s="13">
        <v>189.06</v>
      </c>
      <c r="AR16" s="13">
        <v>182.73</v>
      </c>
      <c r="AS16" s="13">
        <v>182.73</v>
      </c>
      <c r="AT16" s="13">
        <v>177.92</v>
      </c>
      <c r="AU16" s="13">
        <v>179.16</v>
      </c>
      <c r="AV16" s="13">
        <v>179.34</v>
      </c>
      <c r="AW16" s="13">
        <v>176.5</v>
      </c>
      <c r="AX16" s="13">
        <v>176.5</v>
      </c>
      <c r="AY16" s="13">
        <v>175.93</v>
      </c>
      <c r="AZ16" s="13">
        <v>174.51</v>
      </c>
      <c r="BA16" s="13">
        <v>173.91</v>
      </c>
      <c r="BB16" s="13">
        <v>177.1</v>
      </c>
      <c r="BC16" s="13">
        <v>178.24</v>
      </c>
      <c r="BD16" s="13">
        <v>176.52</v>
      </c>
      <c r="BE16" s="13">
        <v>178.27</v>
      </c>
      <c r="BF16" s="13">
        <v>175.29</v>
      </c>
      <c r="BG16" s="13">
        <v>175.34</v>
      </c>
      <c r="BH16" s="13">
        <v>174.41</v>
      </c>
      <c r="BI16" s="13">
        <v>176.22</v>
      </c>
      <c r="BJ16" s="13">
        <v>174</v>
      </c>
      <c r="BK16" s="13">
        <v>176.35</v>
      </c>
      <c r="BL16" s="13">
        <v>177.71</v>
      </c>
      <c r="BM16" s="13">
        <v>180.08</v>
      </c>
      <c r="BN16" s="13">
        <v>181.96</v>
      </c>
      <c r="BO16" s="13">
        <v>182.9</v>
      </c>
      <c r="BP16" s="13">
        <v>181.86</v>
      </c>
      <c r="BQ16" s="29">
        <v>182.56</v>
      </c>
      <c r="BR16" s="13">
        <v>181.07</v>
      </c>
      <c r="BS16" s="13">
        <v>182.56</v>
      </c>
      <c r="BT16" s="29">
        <v>182.56</v>
      </c>
      <c r="BU16" s="13">
        <v>178.86</v>
      </c>
      <c r="BV16" s="13">
        <v>180.16</v>
      </c>
      <c r="BW16" s="13">
        <v>179.56</v>
      </c>
      <c r="BX16" s="13">
        <v>176.55</v>
      </c>
      <c r="BY16" s="13">
        <f t="shared" si="0"/>
        <v>1413.1220000000008</v>
      </c>
      <c r="BZ16" s="13">
        <f t="shared" si="1"/>
        <v>997.45</v>
      </c>
      <c r="CA16" s="13">
        <f t="shared" si="6"/>
        <v>-415.67200000000071</v>
      </c>
      <c r="CB16" s="13">
        <f>((BP16-H16)/H16)*100</f>
        <v>-8.8375357160759904</v>
      </c>
      <c r="CC16">
        <v>1864</v>
      </c>
      <c r="CD16">
        <v>177.19</v>
      </c>
      <c r="CE16" s="15">
        <f t="shared" si="4"/>
        <v>-415.67200000000071</v>
      </c>
    </row>
    <row r="17" spans="1:83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188.59</v>
      </c>
      <c r="J17" s="13">
        <v>189.53</v>
      </c>
      <c r="K17" s="13">
        <v>189.53</v>
      </c>
      <c r="L17" s="13">
        <v>181.5</v>
      </c>
      <c r="M17" s="13">
        <v>181.5</v>
      </c>
      <c r="N17" s="13">
        <v>177.17</v>
      </c>
      <c r="O17" s="13">
        <v>186.88</v>
      </c>
      <c r="P17" s="13">
        <v>184.42</v>
      </c>
      <c r="Q17" s="13">
        <v>184.42</v>
      </c>
      <c r="R17" s="13">
        <v>184.42</v>
      </c>
      <c r="S17" s="13">
        <v>199.37</v>
      </c>
      <c r="T17" s="13">
        <v>194.88</v>
      </c>
      <c r="U17" s="13">
        <v>189.51</v>
      </c>
      <c r="V17" s="13">
        <v>189.51</v>
      </c>
      <c r="W17" s="13">
        <v>189.51</v>
      </c>
      <c r="X17" s="13">
        <v>185.52</v>
      </c>
      <c r="Y17" s="13">
        <v>185.52</v>
      </c>
      <c r="Z17" s="13">
        <v>178.98</v>
      </c>
      <c r="AA17" s="13">
        <v>178.98</v>
      </c>
      <c r="AB17" s="13">
        <v>178.98</v>
      </c>
      <c r="AC17" s="13">
        <v>170.7</v>
      </c>
      <c r="AD17" s="13">
        <v>170.7</v>
      </c>
      <c r="AE17" s="13">
        <v>170.7</v>
      </c>
      <c r="AF17" s="13">
        <v>170.45</v>
      </c>
      <c r="AG17" s="13">
        <v>160.84</v>
      </c>
      <c r="AH17" s="13">
        <v>160.84</v>
      </c>
      <c r="AI17" s="13">
        <v>160.84</v>
      </c>
      <c r="AJ17" s="13">
        <v>159.02000000000001</v>
      </c>
      <c r="AK17" s="13">
        <v>159.65</v>
      </c>
      <c r="AL17" s="13">
        <v>159.65</v>
      </c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29"/>
      <c r="BR17" s="13"/>
      <c r="BS17" s="13"/>
      <c r="BT17" s="29"/>
      <c r="BU17" s="13"/>
      <c r="BV17" s="13"/>
      <c r="BW17" s="13"/>
      <c r="BX17" s="13"/>
      <c r="BY17" s="13">
        <f t="shared" si="0"/>
        <v>957.9</v>
      </c>
      <c r="BZ17" s="13">
        <f t="shared" si="1"/>
        <v>957.9</v>
      </c>
      <c r="CA17" s="13">
        <f t="shared" ref="CA17" si="7">(BZ17-BY17)</f>
        <v>0</v>
      </c>
      <c r="CB17" s="13">
        <f>((BP17-H17)/H17)*100</f>
        <v>-100</v>
      </c>
      <c r="CE17" s="15">
        <f t="shared" si="4"/>
        <v>0</v>
      </c>
    </row>
    <row r="18" spans="1:83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55</v>
      </c>
      <c r="H18" s="13">
        <v>1434</v>
      </c>
      <c r="I18" s="13">
        <v>1941</v>
      </c>
      <c r="J18" s="13">
        <v>1939</v>
      </c>
      <c r="K18" s="13">
        <v>1912</v>
      </c>
      <c r="L18" s="13">
        <v>1891</v>
      </c>
      <c r="M18" s="13">
        <v>1864</v>
      </c>
      <c r="N18" s="13">
        <v>1823</v>
      </c>
      <c r="O18" s="13">
        <v>1819</v>
      </c>
      <c r="P18" s="13">
        <v>1866</v>
      </c>
      <c r="Q18" s="13">
        <v>1886</v>
      </c>
      <c r="R18" s="13">
        <v>1818</v>
      </c>
      <c r="S18" s="13">
        <v>1785</v>
      </c>
      <c r="T18" s="13">
        <v>1828</v>
      </c>
      <c r="U18" s="13">
        <v>1811</v>
      </c>
      <c r="V18" s="13">
        <v>1825</v>
      </c>
      <c r="W18" s="13">
        <v>1831</v>
      </c>
      <c r="X18" s="13">
        <v>1799</v>
      </c>
      <c r="Y18" s="13">
        <v>1757</v>
      </c>
      <c r="Z18" s="13">
        <v>1698</v>
      </c>
      <c r="AA18" s="13">
        <v>1694</v>
      </c>
      <c r="AB18" s="13">
        <v>1671</v>
      </c>
      <c r="AC18" s="13">
        <v>1660</v>
      </c>
      <c r="AD18" s="13">
        <v>1660</v>
      </c>
      <c r="AE18" s="13">
        <v>1646</v>
      </c>
      <c r="AF18" s="13">
        <v>1648</v>
      </c>
      <c r="AG18" s="13">
        <v>1614</v>
      </c>
      <c r="AH18" s="13">
        <v>1626</v>
      </c>
      <c r="AI18" s="13">
        <v>1587</v>
      </c>
      <c r="AJ18" s="13">
        <v>1548</v>
      </c>
      <c r="AK18" s="13">
        <v>1500</v>
      </c>
      <c r="AL18" s="13">
        <v>1491</v>
      </c>
      <c r="AM18" s="13">
        <v>1444</v>
      </c>
      <c r="AN18" s="13">
        <v>1431</v>
      </c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>
        <v>1788</v>
      </c>
      <c r="BP18" s="13">
        <v>1788</v>
      </c>
      <c r="BQ18" s="29">
        <v>1780</v>
      </c>
      <c r="BR18" s="13">
        <v>1814</v>
      </c>
      <c r="BS18" s="13">
        <v>1794</v>
      </c>
      <c r="BT18" s="29">
        <v>1780</v>
      </c>
      <c r="BU18" s="13">
        <v>1772</v>
      </c>
      <c r="BV18" s="13">
        <v>1798</v>
      </c>
      <c r="BW18" s="13">
        <v>1806</v>
      </c>
      <c r="BX18" s="13">
        <v>1801</v>
      </c>
      <c r="BY18" s="13">
        <f t="shared" si="0"/>
        <v>436.20000000000005</v>
      </c>
      <c r="BZ18" s="13">
        <f t="shared" si="1"/>
        <v>788.7</v>
      </c>
      <c r="CA18" s="13">
        <f t="shared" si="6"/>
        <v>352.5</v>
      </c>
      <c r="CB18" s="13">
        <f>((BP18-H18)/H18)*100</f>
        <v>24.686192468619247</v>
      </c>
      <c r="CC18">
        <v>100</v>
      </c>
      <c r="CD18">
        <v>1786.5</v>
      </c>
      <c r="CE18" s="15">
        <f t="shared" si="4"/>
        <v>352.5</v>
      </c>
    </row>
    <row r="19" spans="1:83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79.400000000000006</v>
      </c>
      <c r="J19" s="13">
        <v>89.9</v>
      </c>
      <c r="K19" s="13">
        <v>82.2</v>
      </c>
      <c r="L19" s="13">
        <v>74.5</v>
      </c>
      <c r="M19" s="13">
        <v>67.900000000000006</v>
      </c>
      <c r="N19" s="13">
        <v>71.3</v>
      </c>
      <c r="O19" s="13">
        <v>72.099999999999994</v>
      </c>
      <c r="P19" s="13">
        <v>86.7</v>
      </c>
      <c r="Q19" s="13">
        <v>91.5</v>
      </c>
      <c r="R19" s="13">
        <v>91.5</v>
      </c>
      <c r="S19" s="13">
        <v>132.6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>
        <v>6461</v>
      </c>
      <c r="AK19" s="13">
        <v>6503</v>
      </c>
      <c r="AL19" s="13">
        <v>6535</v>
      </c>
      <c r="AM19" s="13">
        <v>6532</v>
      </c>
      <c r="AN19" s="13">
        <v>6515</v>
      </c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29"/>
      <c r="BR19" s="13"/>
      <c r="BS19" s="13"/>
      <c r="BT19" s="29"/>
      <c r="BU19" s="13"/>
      <c r="BV19" s="13"/>
      <c r="BW19" s="13"/>
      <c r="BX19" s="13"/>
      <c r="BY19" s="13">
        <f t="shared" si="0"/>
        <v>279.39</v>
      </c>
      <c r="BZ19" s="13">
        <f t="shared" si="1"/>
        <v>279.39</v>
      </c>
      <c r="CA19" s="13"/>
      <c r="CB19" s="13"/>
      <c r="CC19">
        <v>7</v>
      </c>
      <c r="CD19">
        <v>6461</v>
      </c>
      <c r="CE19" s="15"/>
    </row>
    <row r="20" spans="1:83" ht="45" customHeight="1" thickBot="1" x14ac:dyDescent="0.3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74</v>
      </c>
      <c r="J20" s="13">
        <v>70.099999999999994</v>
      </c>
      <c r="K20" s="13">
        <v>74.3</v>
      </c>
      <c r="L20" s="13">
        <v>77.3</v>
      </c>
      <c r="M20" s="13">
        <v>82.3</v>
      </c>
      <c r="N20" s="13">
        <v>75.2</v>
      </c>
      <c r="O20" s="13">
        <v>68.8</v>
      </c>
      <c r="P20" s="13">
        <v>89</v>
      </c>
      <c r="Q20" s="13">
        <v>87.5</v>
      </c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29"/>
      <c r="BR20" s="13"/>
      <c r="BS20" s="13"/>
      <c r="BT20" s="29"/>
      <c r="BU20" s="13"/>
      <c r="BV20" s="13"/>
      <c r="BW20" s="13"/>
      <c r="BX20" s="13"/>
      <c r="BY20" s="13">
        <f t="shared" si="0"/>
        <v>449.4</v>
      </c>
      <c r="BZ20" s="13">
        <f t="shared" si="1"/>
        <v>449.4</v>
      </c>
      <c r="CA20" s="13"/>
      <c r="CB20" s="13"/>
      <c r="CE20" s="15"/>
    </row>
    <row r="21" spans="1:83" ht="15.75" thickBot="1" x14ac:dyDescent="0.3"/>
    <row r="22" spans="1:83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29"/>
      <c r="BR22" s="13"/>
      <c r="BS22" s="13"/>
      <c r="BT22" s="29"/>
      <c r="BU22" s="13"/>
      <c r="BV22" s="13"/>
      <c r="BW22" s="13"/>
      <c r="BX22" s="13"/>
      <c r="BY22" s="13"/>
      <c r="BZ22" s="13"/>
      <c r="CA22" s="13"/>
      <c r="CB22" s="13"/>
      <c r="CE22" s="15"/>
    </row>
    <row r="23" spans="1:83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15272.018999999998</v>
      </c>
      <c r="J23" s="23">
        <f>(H2*J2+H3*J3+H4*J4+H5*J5+H6*J6+H7*J7+H8*J8+J9*H9+H10*J10+J11*H11+H12*J12+H13*J13+H14*J14+J15*H15+J16*H16+H17*J17+H18*J18+H19*J19+H20*J20)/100</f>
        <v>18824324.200033002</v>
      </c>
      <c r="K23" s="23">
        <f>(K2*G2+G3*K3+K4*G4+G5*K5+G6*K6+G7*K7+G8*K8+G9*K9+G10*K10+G11*K11+G12*K12+K13*G13+G14*K14+K15*G15+G16*K16+G17*K17+K18*G18+G19*K19+G20*K20)/100</f>
        <v>15176.725</v>
      </c>
      <c r="L23" s="23">
        <f>(L2*G2+G3*L3+L4*G4+G5*L5+G6*L6+G7*L7+G8*L8+G9*L9+G10*L10+G11*L11+G12*L12+L13*G13+G14*L14+L15*G15+G16*L16+G17*L17+L18*G18+G19*L19+G20*L20)/100</f>
        <v>15216.0676</v>
      </c>
      <c r="M23" s="23">
        <f>(M2*G2+G3*M3+M4*G4+G5*M5+G6*M6+G7*M7+G8*M8+G9*M9+G10*M10+G11*M11+G12*M12+M13*G13+G14*M14+M15*G15+G16*M16+G17*M17+M18*G18+G19*M19+G20*M20)/100</f>
        <v>15138.418</v>
      </c>
      <c r="N23" s="23">
        <f>(N2*G2+G3*N3+N4*G4+G5*N5+G6*N6+G7*N7+G8*N8+G9*N9+G10*N10+G11*N11+G12*N12+N13*G13+G14*N14+N15*G15+G16*N16+G17*N17+N18*G18+G19*N19+G20*N20)/100</f>
        <v>13861.2456</v>
      </c>
      <c r="O23" s="23">
        <f>(O2*G2+G3*O3+O4*G4+G5*O5+G6*O6+G7*O7+G8*O8+G9*O9+G10*O10+G11*O11+G12*O12+O13*G13+G14*O14+O15*G15+G16*O16+G17*O17+O18*G18+G19*O19+G20*O20)/100</f>
        <v>13717.9606</v>
      </c>
      <c r="P23" s="23">
        <f>(P2*G2+G3*P3+P4*G4+G5*P5+G6*P6+G7*P7+G8*P8+G9*P9+G10*P10+G11*P11+G12*P12+P13*G13+G14*P14+P15*G15+G16*P16+G17*P17+P18*G18+G19*P19+G20*P20)/100</f>
        <v>14210.13</v>
      </c>
      <c r="Q23" s="23">
        <f>(Q2*G2+G3*Q3+Q4*G4+G5*Q5+G6*Q6+G7*Q7+G8*Q8+G9*Q9+G10*Q10+G11*Q11+G12*Q12+Q13*G13+G14*Q14+Q15*G15+G16*Q16+G17*Q17+Q18*G18+G19*Q19+G20*Q20)/100</f>
        <v>14347.8446</v>
      </c>
      <c r="R23" s="23">
        <f>(R2*G2+G3*R3+R4*G4+G5*R5+G6*R6+G7*R7+G8*R8+G9*R9+G10*R10+G11*R11+G12*R12+R13*G13+G14*R14+R15*G15+G16*R16+G17*R17+R18*G18+G19*R19+G20*R20)/100</f>
        <v>13559.771000000001</v>
      </c>
      <c r="S23" s="23">
        <f>(S2*G2+G3*S3+S4*G4+G5*S5+G6*S6+G7*S7+G8*S8+G9*S9+G10*S10+G11*S11+G12*S12+S13*G13+G14*S14+S15*G15+G16*S16+G17*S17+S18*G18+G19*S19)/100</f>
        <v>13601.9</v>
      </c>
      <c r="T23" s="23">
        <f>(T2*G2+G3*T3+T4*G4+G5*T5+G6*T6+G7*T7+G8*T8+G9*T9+G10*T10+G11*T11+G12*T12+T13*G13+G14*T14+T15*G15+G16*T16+G17*T17+T18*G18+G19*T19)/100</f>
        <v>13822.489599999999</v>
      </c>
      <c r="U23" s="23">
        <f>(U2*G2+G3*U3+U4*G4+G5*U5+G6*U6+G7*U7+G8*U8+G9*U9+G10*U10+G11*U11+G12*U12+U13*G13+G14*U14+U15*G15+G16*U16+G17*U17+U18*G18+G19*U19)/100</f>
        <v>13593.482599999999</v>
      </c>
      <c r="V23" s="23">
        <f>(V2*G2+G3*V3+V4*G4+G5*V5+G6*V6+G7*V7+G8*V8+G9*V9+G10*V10+G11*V11+G12*V12+V13*G13+G14*V14+V15*G15+G16*V16+G17*V17+V18*G18+G19*V19)/100</f>
        <v>13623.063999999998</v>
      </c>
      <c r="W23" s="23">
        <f>(W2*G2+G3*W3+W4*G4+G5*W5+G6*W6+G7*W7+G8*W8+G9*W9+G10*W10+G11*W11+G12*W12+W13*G13+G14*W14+W15*G15+G16*W16+G17*W17+W18*G18+G19*W19)/100</f>
        <v>13761.866599999999</v>
      </c>
      <c r="X23" s="23">
        <f>(X2*G2+G3*X3+X4*G4+G5*X5+G6*X6+G7*X7+G8*X8+G9*X9+G10*X10+G11*X11+G12*X12+X13*G13+G14*X14+X15*G15+G16*X16+G17*X17+X18*G18+G19*X19)/100</f>
        <v>13415.767</v>
      </c>
      <c r="Y23" s="23">
        <f>(Y2*G2+G3*Y3+Y4*G4+G5*Y5+G6*Y6+G7*Y7+G8*Y8+G9*Y9+G10*Y10+G11*Y11+G12*Y12+Y13*G13+G14*Y14+Y15*G15+G16*Y16+G17*Y17+Y18*G18+G19*Y19)/100</f>
        <v>13155.02</v>
      </c>
      <c r="Z23" s="23">
        <f>(Z2*G2+G3*Z3+Z4*G4+G5*Z5+G6*Z6+G7*Z7+G8*Z8+G9*Z9+G10*Z10+G11*Z11+G12*Z12+Z13*G13+G14*Z14+Z15*G15+G16*Z16+G17*Z17+Z18*G18+G19*Z19)/100</f>
        <v>12929.696000000002</v>
      </c>
      <c r="AA23" s="23">
        <f>(AA2*G2+G3*AA3+AA4*G4+G5*AA5+G6*AA6+G7*AA7+G8*AA8+G9*AA9+G10*AA10+G11*AA11+G12*AA12+AA13*G13+G14*AA14+AA15*G15+G16*AA16+G17*AA17+AA18*G18+G19*AA19)/100</f>
        <v>12948.618599999998</v>
      </c>
      <c r="AB23" s="23">
        <f>(AB3*G3+G4*AB4+AB5*G5+G6*AB6+G7*AB7+G8*AB8+G9*AB9+G10*AB10+G11*AB11+G12*AB12+G14*AB14+AB15*G15+G16*AB16+AB17*G17+G18*AB18+G19*AB19)/100</f>
        <v>12827.95</v>
      </c>
      <c r="AC23" s="23">
        <f>(AC3*G3+G4*AC4+AC5*G5+G6*AC6+G7*AC7+G8*AC8+G9*AC9+G10*AC10+G11*AC11+G12*AC12+G14*AC14+AC15*G15+G16*AC16+AC17*G17+G18*AC18+G19*AC19)/100</f>
        <v>12582.588599999999</v>
      </c>
      <c r="AD23" s="23">
        <f>(AD3*G3+G4*AD4+AD5*G5+G6*AD6+G7*AD7+G8*AD8+G9*AD9+G10*AD10+G11*AD11+G12*AD12+G14*AD14+AD15*G15+G16*AD16+AD17*G17+G18*AD18+G19*AD19)/100</f>
        <v>12601.688599999999</v>
      </c>
      <c r="AE23" s="23">
        <f>(AE3*G3+G4*AE4+AE5*G5+G6*AE6+G7*AE7+G8*AE8+G9*AE9+G10*AE10+G11*AE11+G12*AE12+G14*AE14+AE15*G15+G16*AE16+AE17*G17+G18*AE18+G19*AE19)/100</f>
        <v>12515.068599999999</v>
      </c>
      <c r="AF23" s="23">
        <f>(AF3*G3+G4*AF4+AF5*G5+G6*AF6+G7*AF7+G8*AF8+G9*AF9+G10*AF10+G11*AF11+G12*AF12+G14*AF14+AF15*G15+G16*AF16+AF17*G17+G18*AF18+G19*AF19)/100</f>
        <v>12164.76</v>
      </c>
      <c r="AG23" s="23">
        <f>(AG3*G3+G4*AG4+AG5*G5+G6*AG6+G7*AG7+G8*AG8+G9*AG9+G10*AG10+G11*AG11+G12*AG12+G14*AG14+AG15*G15+G16*AG16+AG17*G17+G18*AG18+G19*AG19)/100</f>
        <v>12125.313599999999</v>
      </c>
      <c r="AH23" s="23">
        <f>(AH3*G3+G4*AH4+AH5*G5+G6*AH6+G7*AH7+G8*AH8+G9*AH9+G10*AH10+G11*AH11+G12*AH12+G14*AH14+AH15*G15+G16*AH16+AH17*G17+G18*AH18+G19*AH19)/100</f>
        <v>11005.2626</v>
      </c>
      <c r="AI23" s="23">
        <f>(AI5*G5+G6*AI6+AI7*G7+G8*AI8+G9*AI9+G10*AI10+G11*AI11+G12*AI12+G14*AI14+G20*AI20+G15*AI15+AI16*G16+G17*AI17+AI18*G18+G19*AI19)/100</f>
        <v>9673.5995999999996</v>
      </c>
      <c r="AJ23" s="23" t="e">
        <f>(AJ5*G5+G7*AJ7+AJ8*G8+G9*AJ9+#REF!*#REF!+G10*AJ10+G11*AJ11+G12*AJ12+G14*AJ14+G19*AJ19+G20*AJ20+AJ6*G6+G15*AJ15+#REF!*#REF!+G16*AJ16+G17*AJ17+AJ18*G18+#REF!*#REF!+#REF!*#REF!+#REF!*#REF!+#REF!*#REF!+#REF!*#REF!+#REF!*#REF!+G3*AJ3+#REF!*#REF!)/100</f>
        <v>#REF!</v>
      </c>
      <c r="AK23" s="23" t="e">
        <f>(AK5*G5+G7*AK7+AK8*G8+G9*AK9+#REF!*#REF!+G10*AK10+G11*AK11+G12*AK12+G14*AK14+G19*AK19+G20*AK20+AK6*G6+G15*AK15+#REF!*#REF!+G16*AK16+G17*AK17+AK18*G18+#REF!*#REF!+#REF!*#REF!+#REF!*#REF!+#REF!*#REF!+#REF!*#REF!+#REF!*#REF!+G3*AK3+#REF!*#REF!)/100</f>
        <v>#REF!</v>
      </c>
      <c r="AL23" s="23" t="e">
        <f>(AL5*G5+G7*AL7+AL8*G8+G9*AL9+#REF!*#REF!+G10*AL10+G11*AL11+G12*AL12+G14*AL14+G19*AL19+G20*AL20+AL6*G6+G15*AL15+#REF!*#REF!+G16*AL16+G17*AL17+AL18*G18+#REF!*#REF!+#REF!*#REF!+#REF!*#REF!+#REF!*#REF!+#REF!*#REF!+#REF!*#REF!+G3*AL3+#REF!*#REF!)/100</f>
        <v>#REF!</v>
      </c>
      <c r="AM23" s="23" t="e">
        <f>(AM5*G5+G7*AM7+AM8*G8+G9*AM9+#REF!*#REF!+G10*AM10+G11*AM11+G12*AM12+G14*AM14+G19*AM19+G20*AM20+AM6*G6+G15*AM15+#REF!*#REF!+G16*AM16+G18*AM18+#REF!*#REF!+#REF!*#REF!+#REF!*#REF!+#REF!*#REF!+#REF!*#REF!+#REF!*#REF!+G3*AM3+#REF!*#REF!+G4*AM4)/100</f>
        <v>#REF!</v>
      </c>
      <c r="AN23" s="23" t="e">
        <f>(#REF!*#REF!+#REF!*#REF!+AN3*G3+#REF!*#REF!+G4*AN4+G5*AN5+G7*AN7+G8*AN8+G9*AN9+#REF!*#REF!+G10*AN10+AN11*G11+G12*AN12+AN14*G14+#REF!*#REF!+#REF!*#REF!+#REF!*#REF!+#REF!*#REF!+G20*AN20+AN6*G6+#REF!*#REF!+G16*AN16+G18*AN18+G19*AN19)/100</f>
        <v>#REF!</v>
      </c>
      <c r="AO23" s="23" t="e">
        <f>(#REF!*#REF!+#REF!*#REF!+AO3*G3+#REF!*#REF!+G4*AO4+G5*AO5+G7*AO7+G8*AO8+G9*AO9+#REF!*#REF!+G10*AO10+AO11*G11+G12*AO12+AO14*G14+#REF!*#REF!+#REF!*#REF!+#REF!*#REF!+#REF!*#REF!+G20*AO20+AO6*G6+#REF!*#REF!+G16*AO16+G18*AO18+G19*AO19)/100</f>
        <v>#REF!</v>
      </c>
      <c r="AP23" s="23" t="e">
        <f>(#REF!*#REF!+#REF!*#REF!+AP3*G3+#REF!*#REF!+G4*AP4+G5*AP5+AP7*G7+AP8*G8+AP9*G9+#REF!*#REF!+G10*AP10+AP11*G11+G12*AP12+AP14*G14+#REF!*#REF!+#REF!*#REF!+#REF!*#REF!+#REF!*#REF!+G20*AP20+G6*AP6+#REF!*#REF!+G16*AP16+G18*AP18)/100</f>
        <v>#REF!</v>
      </c>
      <c r="AQ23" s="23" t="e">
        <f>(#REF!*#REF!+#REF!*#REF!+AQ3*G3+#REF!*#REF!+G4*AQ4+G5*AQ5+AQ7*G7+AQ8*G8+AQ9*G9+#REF!*#REF!+G10*AQ10+AQ11*G11+G12*AQ12+AQ14*G14+#REF!*#REF!+#REF!*#REF!+#REF!*#REF!+#REF!*#REF!+G20*AQ20+G6*AQ6+#REF!*#REF!+G16*AQ16+G18*AQ18)/100</f>
        <v>#REF!</v>
      </c>
      <c r="AR23" s="23" t="e">
        <f>(#REF!*#REF!+#REF!*#REF!+AR3*G3+#REF!*#REF!+G4*AR4+G8*AR8+AR9*G9+#REF!*#REF!+AR10*G10+G11*AR11+G14*AR14+#REF!*#REF!+#REF!*#REF!+#REF!*#REF!+#REF!*#REF!+G6*AR6+#REF!*#REF!+G16*AR16+G18*AR18+G7*AR7+G5*AR5+G12*AR12+G20*AR20)/100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(#REF!*#REF!+#REF!*#REF!+AT3*G3+#REF!*#REF!+G4*AT4+G8*AT8+G9*AT9+#REF!*#REF!+G10*AT10+AT11*G11+AT14*G14+#REF!*#REF!+#REF!*#REF!+#REF!*#REF!+#REF!*#REF!+AT6*G6+#REF!*#REF!+G16*AT16+G18*AT18+G19*AT19)/100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(#REF!*#REF!+#REF!*#REF!+AV3*G3+#REF!*#REF!+G4*AV4+G8*AV8+AV9*G9+#REF!*#REF!+AV10*G10+G11*AV11+G14*AV14+#REF!*#REF!+#REF!*#REF!+#REF!*#REF!+#REF!*#REF!+G6*AV6+#REF!*#REF!+G16*AV16+G18*AV18)/100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(#REF!*#REF!+#REF!*#REF!+BB3*G3+#REF!*#REF!+G4*BB4+G8*BB8+BB9*G9+BB10*G10+BB11*G11+G14*BB14+#REF!*#REF!+#REF!*#REF!+#REF!*#REF!+#REF!*#REF!+G6*BB6+#REF!*#REF!+G16*BB16+G18*BB18)/100</f>
        <v>#REF!</v>
      </c>
      <c r="BC23" s="23" t="e">
        <f>(#REF!*#REF!+#REF!*#REF!+BC3*G3+#REF!*#REF!+G4*BC4+G8*BC8+BC10*G10+BC11*G11+G14*BC14+#REF!*#REF!+#REF!*#REF!+#REF!*#REF!+#REF!*#REF!+G6*BC6+#REF!*#REF!+G16*BC16+G18*BC18)/100</f>
        <v>#REF!</v>
      </c>
      <c r="BD23" s="23" t="e">
        <f>(#REF!*#REF!+#REF!*#REF!+BD3*G3+#REF!*#REF!+G4*BD4+G8*BD8+G10*BD10+BD11*G11+BD14*G14+#REF!*#REF!+#REF!*#REF!+#REF!*#REF!+#REF!*#REF!+BD6*G6+#REF!*#REF!+G16*BD16+G18*BD18+G19*BD19)/100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(#REF!*#REF!+#REF!*#REF!+BO3*G3+#REF!*#REF!+G4*BO4+G10*BO10+G11*BO11+G14*BO14+#REF!*#REF!+#REF!*#REF!+#REF!*#REF!+#REF!*#REF!+G6*BO6+BO16*G16+G18*BO18+G19*BO19)/100</f>
        <v>#REF!</v>
      </c>
      <c r="BP23" s="23" t="e">
        <f>(#REF!*#REF!+#REF!*#REF!+BP3*G3+#REF!*#REF!+G4*BP4+G10*BP10+G14*BP14+#REF!*#REF!+#REF!*#REF!+#REF!*#REF!+#REF!*#REF!+G6*BP6+BP16*G16+G18*BP18+G19*BP19)/100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30" t="e">
        <f>(#REF!*#REF!+BT3*G3+G4*BT4+G14*BT14+#REF!*#REF!+#REF!*#REF!+#REF!*#REF!+#REF!*#REF!+G6*BT6+BT16*G16+G18*BT18+G19*BT19+G22*BT22+#REF!*#REF!+#REF!*#REF!)/100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23" t="e">
        <f>(#REF!*#REF!+BV3*G3+G14*BV14+#REF!*#REF!+#REF!*#REF!+#REF!*#REF!+#REF!*#REF!+G6*BV6+BV16*G16+G18*BV18+G19*BV19+G22*BV22+#REF!*#REF!+#REF!*#REF!)/100</f>
        <v>#REF!</v>
      </c>
      <c r="BW23" s="23" t="e">
        <f>(#REF!*#REF!+BW3*G3+G14*BW14+#REF!*#REF!+#REF!*#REF!+#REF!*#REF!+#REF!*#REF!+G6*BW6+BW16*G16+G18*BW18+G19*BW19+G22*BW22+#REF!*#REF!+#REF!*#REF!)/100</f>
        <v>#REF!</v>
      </c>
      <c r="BX23" s="23" t="e">
        <f>(#REF!*#REF!+BX3*G3+G14*BX14+#REF!*#REF!+#REF!*#REF!+#REF!*#REF!+#REF!*#REF!+G6*BX6+BX16*G16+G18*BX18+G19*BX19+G22*BX22+#REF!*#REF!+#REF!*#REF!)/100</f>
        <v>#REF!</v>
      </c>
      <c r="BY23" s="13"/>
      <c r="BZ23" s="13"/>
      <c r="CA23" s="13"/>
      <c r="CB23" s="13"/>
      <c r="CE23" s="15">
        <v>1348.18</v>
      </c>
    </row>
    <row r="24" spans="1:83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23">
        <f>SUM(BY2:BY20)</f>
        <v>13254.910700000002</v>
      </c>
      <c r="BZ24" s="23">
        <f>SUM(BZ2:BZ20)</f>
        <v>13524.774100000002</v>
      </c>
      <c r="CA24" s="24">
        <f>BZ24-BY24</f>
        <v>269.86340000000018</v>
      </c>
      <c r="CB24" s="13">
        <f>((BZ24-BY24)/BY24)*100</f>
        <v>2.0359503440487163</v>
      </c>
      <c r="CE24" s="15">
        <f>SUM(CE2:CE20)</f>
        <v>269.86339999999922</v>
      </c>
    </row>
    <row r="25" spans="1:83" x14ac:dyDescent="0.25">
      <c r="BY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963.4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895</v>
      </c>
      <c r="F3" s="16">
        <v>950</v>
      </c>
      <c r="G3" s="17"/>
      <c r="I3" s="13">
        <f>'התיק העדכני'!I3</f>
        <v>833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5655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618</v>
      </c>
      <c r="F5" s="16">
        <v>780</v>
      </c>
      <c r="I5" s="13">
        <f>'התיק העדכני'!I5</f>
        <v>590.1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5450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4074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41300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10450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4516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1060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28250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895</v>
      </c>
      <c r="F13" s="16">
        <v>950</v>
      </c>
      <c r="G13" s="18"/>
      <c r="I13" s="13">
        <f>'התיק העדכני'!I13</f>
        <v>860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8294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12829.25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214.11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188.59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1650</v>
      </c>
      <c r="F18" s="16">
        <v>2000</v>
      </c>
      <c r="G18" s="18"/>
      <c r="I18" s="13">
        <f>'התיק העדכני'!I18</f>
        <v>1941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79.400000000000006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74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74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963.4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1105</v>
      </c>
      <c r="G3" s="7"/>
      <c r="I3" s="13">
        <f>'התיק העדכני'!I3</f>
        <v>833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5655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730</v>
      </c>
      <c r="G5" s="7"/>
      <c r="I5" s="13">
        <f>'התיק העדכני'!I5</f>
        <v>590.1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5450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4074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41300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10450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4516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1060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28250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775</v>
      </c>
      <c r="F13" s="16">
        <v>980</v>
      </c>
      <c r="G13" s="8"/>
      <c r="I13" s="13">
        <f>'התיק העדכני'!I13</f>
        <v>860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8294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12829.25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214.11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188.59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1693</v>
      </c>
      <c r="F18" s="16">
        <v>2163</v>
      </c>
      <c r="G18" s="8"/>
      <c r="I18" s="13">
        <f>'התיק העדכני'!I18</f>
        <v>1941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79.400000000000006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74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963.4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1100</v>
      </c>
      <c r="G3" s="10"/>
      <c r="I3" s="13">
        <f>'התיק העדכני'!I3</f>
        <v>833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5655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725</v>
      </c>
      <c r="G5" s="10"/>
      <c r="I5" s="13">
        <f>'התיק העדכני'!I5</f>
        <v>590.1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5450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4074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41300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10450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4516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1060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28250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800</v>
      </c>
      <c r="F13" s="16">
        <v>1000</v>
      </c>
      <c r="G13" s="10"/>
      <c r="I13" s="13">
        <f>'התיק העדכני'!I13</f>
        <v>860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8294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12829.25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214.11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188.59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1700</v>
      </c>
      <c r="F18" s="16">
        <v>2100</v>
      </c>
      <c r="I18" s="13">
        <f>'התיק העדכני'!I18</f>
        <v>1941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79.400000000000006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74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963.4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833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5655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595</v>
      </c>
      <c r="F5" s="16">
        <v>730</v>
      </c>
      <c r="G5" s="31"/>
      <c r="I5" s="13">
        <f>'התיק העדכני'!I5</f>
        <v>590.1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5450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4074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41300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10450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4516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1060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28250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860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8294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74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12829.25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214.11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1680</v>
      </c>
      <c r="F18" s="16">
        <v>1950</v>
      </c>
      <c r="G18" s="31"/>
      <c r="I18" s="13">
        <f>'התיק העדכני'!I17</f>
        <v>188.59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1941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79.400000000000006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74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2026-02-15T09:43:37Z</dcterms:modified>
</cp:coreProperties>
</file>