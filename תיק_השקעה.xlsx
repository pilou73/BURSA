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12090A3B-B630-4D7C-BB50-3DCB41501BAB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CK23" i="1"/>
  <c r="N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O23" i="1"/>
  <c r="P23" i="1"/>
  <c r="Q23" i="1"/>
  <c r="R23" i="1"/>
  <c r="S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T23" i="1"/>
  <c r="U23" i="1"/>
  <c r="V23" i="1"/>
  <c r="W23" i="1"/>
  <c r="X23" i="1"/>
  <c r="I23" i="1"/>
  <c r="Y23" i="1"/>
  <c r="Z23" i="1"/>
  <c r="AA23" i="1"/>
  <c r="AB23" i="1"/>
  <c r="AC23" i="1"/>
  <c r="AD23" i="1"/>
  <c r="AE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G2" i="1"/>
  <c r="CF2" i="1"/>
  <c r="AF23" i="1"/>
  <c r="AG23" i="1"/>
  <c r="AH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G13" i="1"/>
  <c r="CF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I23" i="1"/>
  <c r="AP23" i="1"/>
  <c r="AO23" i="1"/>
  <c r="AN23" i="1"/>
  <c r="AM23" i="1"/>
  <c r="AL23" i="1"/>
  <c r="AK23" i="1"/>
  <c r="AJ23" i="1"/>
  <c r="CF5" i="1"/>
  <c r="CF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G3" i="1"/>
  <c r="CF3" i="1"/>
  <c r="CF12" i="1"/>
  <c r="CF20" i="1"/>
  <c r="CG7" i="1"/>
  <c r="CG8" i="1"/>
  <c r="CG9" i="1"/>
  <c r="CG10" i="1"/>
  <c r="CG11" i="1"/>
  <c r="CG12" i="1"/>
  <c r="CG14" i="1"/>
  <c r="CG20" i="1"/>
  <c r="CG6" i="1"/>
  <c r="CG15" i="1"/>
  <c r="CG16" i="1"/>
  <c r="CG17" i="1"/>
  <c r="CG18" i="1"/>
  <c r="CG19" i="1"/>
  <c r="CG4" i="1"/>
  <c r="CG5" i="1"/>
  <c r="L21" i="2"/>
  <c r="M21" i="2"/>
  <c r="L22" i="2"/>
  <c r="M22" i="2"/>
  <c r="L23" i="2"/>
  <c r="M23" i="2"/>
  <c r="L24" i="2"/>
  <c r="M24" i="2"/>
  <c r="AQ23" i="1"/>
  <c r="CF19" i="1"/>
  <c r="CF7" i="1"/>
  <c r="C1" i="1"/>
  <c r="B1" i="1"/>
  <c r="AR23" i="1"/>
  <c r="L25" i="2"/>
  <c r="M25" i="2"/>
  <c r="L26" i="2"/>
  <c r="M26" i="2"/>
  <c r="L27" i="2"/>
  <c r="M27" i="2"/>
  <c r="L28" i="2"/>
  <c r="M28" i="2"/>
  <c r="AS23" i="1"/>
  <c r="CF17" i="1"/>
  <c r="AT23" i="1"/>
  <c r="CF15" i="1"/>
  <c r="AU23" i="1"/>
  <c r="AV23" i="1"/>
  <c r="AW23" i="1"/>
  <c r="AX23" i="1"/>
  <c r="AY23" i="1"/>
  <c r="AZ23" i="1"/>
  <c r="BB23" i="1"/>
  <c r="BC23" i="1"/>
  <c r="BA23" i="1"/>
  <c r="BD23" i="1"/>
  <c r="BF23" i="1"/>
  <c r="BG23" i="1"/>
  <c r="BH23" i="1"/>
  <c r="BI23" i="1"/>
  <c r="CF9" i="1"/>
  <c r="BJ23" i="1"/>
  <c r="BK23" i="1"/>
  <c r="CF8" i="1"/>
  <c r="BL23" i="1"/>
  <c r="BM23" i="1"/>
  <c r="BN23" i="1"/>
  <c r="BO23" i="1"/>
  <c r="CF4" i="1"/>
  <c r="CF10" i="1"/>
  <c r="CF11" i="1"/>
  <c r="BP23" i="1"/>
  <c r="BQ23" i="1"/>
  <c r="BR23" i="1"/>
  <c r="BS23" i="1"/>
  <c r="BT23" i="1"/>
  <c r="BV23" i="1"/>
  <c r="BU23" i="1"/>
  <c r="CG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H3" i="1"/>
  <c r="D20" i="1"/>
  <c r="CH17" i="1"/>
  <c r="CH15" i="1"/>
  <c r="BE23" i="1"/>
  <c r="CH9" i="1"/>
  <c r="CH8" i="1"/>
  <c r="CH11" i="1"/>
  <c r="BW23" i="1"/>
  <c r="BX23" i="1"/>
  <c r="BY23" i="1"/>
  <c r="BZ23" i="1"/>
  <c r="CA23" i="1"/>
  <c r="CE23" i="1"/>
  <c r="CD23" i="1"/>
  <c r="CC23" i="1"/>
  <c r="CB23" i="1"/>
  <c r="CF14" i="1"/>
  <c r="CF16" i="1"/>
  <c r="M3" i="5"/>
  <c r="M3" i="3"/>
  <c r="M3" i="4"/>
  <c r="L3" i="4"/>
  <c r="L3" i="5"/>
  <c r="L3" i="3"/>
  <c r="L3" i="2"/>
  <c r="B3" i="1" s="1"/>
  <c r="M3" i="2"/>
  <c r="C3" i="1" s="1"/>
  <c r="CF18" i="1"/>
  <c r="CK24" i="1" l="1"/>
  <c r="CF24" i="1"/>
  <c r="D3" i="1"/>
  <c r="CH18" i="1"/>
  <c r="CH4" i="1"/>
  <c r="CH10" i="1"/>
  <c r="CH16" i="1"/>
  <c r="CH14" i="1"/>
  <c r="CH6" i="1" l="1"/>
  <c r="CH24" i="1"/>
</calcChain>
</file>

<file path=xl/sharedStrings.xml><?xml version="1.0" encoding="utf-8"?>
<sst xmlns="http://schemas.openxmlformats.org/spreadsheetml/2006/main" count="141" uniqueCount="120">
  <si>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</si>
  <si>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</si>
  <si>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</si>
  <si>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</si>
  <si>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</si>
  <si>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</si>
  <si>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</si>
  <si>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</si>
  <si>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</si>
  <si>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</si>
  <si>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</si>
  <si>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</si>
  <si>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</si>
  <si>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</si>
  <si>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</si>
  <si>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</si>
  <si>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</si>
  <si>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</si>
  <si>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</si>
  <si>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</si>
  <si>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</si>
  <si>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</si>
  <si>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</si>
  <si>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</si>
  <si>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</si>
  <si>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</si>
  <si>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</si>
  <si>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</si>
  <si>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</si>
  <si>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</si>
  <si>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</si>
  <si>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</si>
  <si>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</si>
  <si>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</si>
  <si>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</si>
  <si>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</si>
  <si>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</si>
  <si>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</si>
  <si>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</si>
  <si>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</si>
  <si>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</si>
  <si>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</si>
  <si>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</si>
  <si>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</si>
  <si>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</si>
  <si>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</si>
  <si>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</si>
  <si>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</si>
  <si>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</si>
  <si>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</si>
  <si>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</si>
  <si>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</si>
  <si>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</si>
  <si>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</si>
  <si>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</si>
  <si>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</si>
  <si>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</si>
  <si>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</si>
  <si>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</si>
  <si>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</si>
  <si>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</si>
  <si>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</si>
  <si>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</si>
  <si>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</si>
  <si>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</si>
  <si>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</si>
  <si>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</si>
  <si>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</si>
  <si>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</si>
  <si>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</si>
  <si>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</si>
  <si>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</si>
  <si>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</si>
  <si>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</si>
  <si>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</si>
  <si>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</si>
  <si>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</si>
  <si>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</si>
  <si>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</si>
  <si>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</si>
  <si>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</si>
  <si>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</si>
  <si>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</si>
  <si>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</si>
  <si>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</si>
  <si>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</si>
  <si>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</si>
  <si>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</si>
  <si>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</si>
  <si>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</si>
  <si>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</si>
  <si>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</si>
  <si>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</si>
  <si>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</si>
  <si>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</si>
  <si>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</si>
  <si>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</si>
  <si>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</si>
  <si>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</si>
  <si>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</si>
  <si>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</si>
  <si>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</si>
  <si>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</si>
  <si>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</si>
  <si>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</si>
  <si>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</si>
  <si>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</si>
  <si>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</si>
  <si>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</si>
  <si>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</si>
  <si>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</si>
  <si>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</si>
  <si>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</si>
  <si>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</si>
  <si>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</si>
  <si>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</si>
  <si>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</si>
  <si>
    <t>עין שלישית</t>
  </si>
  <si>
    <t>ברק (60) אולטרה ת"א 35 פי 3</t>
  </si>
  <si>
    <t>בונוס ביוגרופ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</si>
</sst>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K25"/>
  <sheetViews>
    <sheetView tabSelected="1" zoomScale="85" zoomScaleNormal="85" workbookViewId="0">
      <selection activeCell="I18" sqref="I18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73" width="14.85546875" customWidth="1"/>
    <col min="74" max="83" width="12.7109375" bestFit="1" customWidth="1"/>
    <col min="84" max="84" width="13" bestFit="1" customWidth="1"/>
    <col min="85" max="85" width="13.140625" bestFit="1" customWidth="1"/>
    <col min="86" max="86" width="11" bestFit="1" customWidth="1"/>
    <col min="89" max="89" width="11.5703125" customWidth="1"/>
  </cols>
  <sheetData>
    <row r="1" spans="1:89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6</v>
      </c>
      <c r="K1" s="6" t="s">
        <v>116</v>
      </c>
      <c r="L1" s="6" t="s">
        <v>115</v>
      </c>
      <c r="M1" s="6" t="s">
        <v>114</v>
      </c>
      <c r="N1" s="6" t="s">
        <v>113</v>
      </c>
      <c r="O1" s="6" t="s">
        <v>112</v>
      </c>
      <c r="P1" s="6" t="s">
        <v>111</v>
      </c>
      <c r="Q1" s="6" t="s">
        <v>110</v>
      </c>
      <c r="R1" s="6" t="s">
        <v>109</v>
      </c>
      <c r="S1" s="6" t="s">
        <v>108</v>
      </c>
      <c r="T1" s="6" t="s">
        <v>107</v>
      </c>
      <c r="U1" s="6" t="s">
        <v>105</v>
      </c>
      <c r="V1" s="6" t="s">
        <v>104</v>
      </c>
      <c r="W1" s="6" t="s">
        <v>103</v>
      </c>
      <c r="X1" s="6" t="s">
        <v>102</v>
      </c>
      <c r="Y1" s="6" t="s">
        <v>99</v>
      </c>
      <c r="Z1" s="6" t="s">
        <v>97</v>
      </c>
      <c r="AA1" s="6" t="s">
        <v>98</v>
      </c>
      <c r="AB1" s="6" t="s">
        <v>95</v>
      </c>
      <c r="AC1" s="6" t="s">
        <v>94</v>
      </c>
      <c r="AD1" s="6" t="s">
        <v>93</v>
      </c>
      <c r="AE1" s="6" t="s">
        <v>92</v>
      </c>
      <c r="AF1" s="6" t="s">
        <v>91</v>
      </c>
      <c r="AG1" s="6" t="s">
        <v>90</v>
      </c>
      <c r="AH1" s="6" t="s">
        <v>89</v>
      </c>
      <c r="AI1" s="6" t="s">
        <v>88</v>
      </c>
      <c r="AJ1" s="6" t="s">
        <v>87</v>
      </c>
      <c r="AK1" s="6" t="s">
        <v>86</v>
      </c>
      <c r="AL1" s="6" t="s">
        <v>85</v>
      </c>
      <c r="AM1" s="6" t="s">
        <v>84</v>
      </c>
      <c r="AN1" s="6" t="s">
        <v>83</v>
      </c>
      <c r="AO1" s="6" t="s">
        <v>82</v>
      </c>
      <c r="AP1" s="6" t="s">
        <v>81</v>
      </c>
      <c r="AQ1" s="6" t="s">
        <v>78</v>
      </c>
      <c r="AR1" s="6" t="s">
        <v>77</v>
      </c>
      <c r="AS1" s="6" t="s">
        <v>76</v>
      </c>
      <c r="AT1" s="6" t="s">
        <v>74</v>
      </c>
      <c r="AU1" s="6" t="s">
        <v>72</v>
      </c>
      <c r="AV1" s="6" t="s">
        <v>70</v>
      </c>
      <c r="AW1" s="6" t="s">
        <v>69</v>
      </c>
      <c r="AX1" s="6" t="s">
        <v>67</v>
      </c>
      <c r="AY1" s="6" t="s">
        <v>65</v>
      </c>
      <c r="AZ1" s="6" t="s">
        <v>62</v>
      </c>
      <c r="BA1" s="6" t="s">
        <v>61</v>
      </c>
      <c r="BB1" s="6" t="s">
        <v>60</v>
      </c>
      <c r="BC1" s="6" t="s">
        <v>59</v>
      </c>
      <c r="BD1" s="6" t="s">
        <v>58</v>
      </c>
      <c r="BE1" s="6" t="s">
        <v>57</v>
      </c>
      <c r="BF1" s="6" t="s">
        <v>56</v>
      </c>
      <c r="BG1" s="6" t="s">
        <v>55</v>
      </c>
      <c r="BH1" s="6" t="s">
        <v>54</v>
      </c>
      <c r="BI1" s="6" t="s">
        <v>53</v>
      </c>
      <c r="BJ1" s="6" t="s">
        <v>52</v>
      </c>
      <c r="BK1" s="6" t="s">
        <v>51</v>
      </c>
      <c r="BL1" s="6" t="s">
        <v>49</v>
      </c>
      <c r="BM1" s="6" t="s">
        <v>48</v>
      </c>
      <c r="BN1" s="6" t="s">
        <v>47</v>
      </c>
      <c r="BO1" s="6" t="s">
        <v>46</v>
      </c>
      <c r="BP1" s="6" t="s">
        <v>45</v>
      </c>
      <c r="BQ1" s="6" t="s">
        <v>44</v>
      </c>
      <c r="BR1" s="6" t="s">
        <v>43</v>
      </c>
      <c r="BS1" s="6" t="s">
        <v>42</v>
      </c>
      <c r="BT1" s="6" t="s">
        <v>41</v>
      </c>
      <c r="BU1" s="6" t="s">
        <v>40</v>
      </c>
      <c r="BV1" s="6" t="s">
        <v>39</v>
      </c>
      <c r="BW1" s="6" t="s">
        <v>38</v>
      </c>
      <c r="BX1" s="6" t="s">
        <v>37</v>
      </c>
      <c r="BY1" s="6" t="s">
        <v>36</v>
      </c>
      <c r="BZ1" s="6" t="s">
        <v>35</v>
      </c>
      <c r="CA1" s="6" t="s">
        <v>34</v>
      </c>
      <c r="CB1" s="6" t="s">
        <v>33</v>
      </c>
      <c r="CC1" s="6" t="s">
        <v>31</v>
      </c>
      <c r="CD1" s="6" t="s">
        <v>30</v>
      </c>
      <c r="CE1" s="6" t="s">
        <v>29</v>
      </c>
      <c r="CF1" s="6" t="s">
        <v>7</v>
      </c>
      <c r="CG1" s="6" t="s">
        <v>8</v>
      </c>
      <c r="CH1" s="6" t="s">
        <v>9</v>
      </c>
      <c r="CI1" s="12" t="s">
        <v>28</v>
      </c>
      <c r="CJ1" s="12" t="s">
        <v>27</v>
      </c>
      <c r="CK1" s="12" t="s">
        <v>79</v>
      </c>
    </row>
    <row r="2" spans="1:89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בהפסד</v>
      </c>
      <c r="E2" s="5" t="s">
        <v>106</v>
      </c>
      <c r="F2" s="4">
        <v>46063</v>
      </c>
      <c r="G2" s="27">
        <v>100</v>
      </c>
      <c r="H2" s="13">
        <v>935</v>
      </c>
      <c r="I2" s="13">
        <v>701.4</v>
      </c>
      <c r="J2" s="13">
        <v>832.3</v>
      </c>
      <c r="K2" s="13">
        <v>950</v>
      </c>
      <c r="L2" s="13">
        <v>973</v>
      </c>
      <c r="M2" s="13">
        <v>935</v>
      </c>
      <c r="N2" s="13">
        <v>1056</v>
      </c>
      <c r="O2" s="13">
        <v>1041</v>
      </c>
      <c r="P2" s="13">
        <v>963.4</v>
      </c>
      <c r="Q2" s="13">
        <v>897</v>
      </c>
      <c r="R2" s="13">
        <v>854.6</v>
      </c>
      <c r="S2" s="13">
        <v>846.8</v>
      </c>
      <c r="T2" s="13">
        <v>799.8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32"/>
      <c r="BY2" s="6"/>
      <c r="BZ2" s="6"/>
      <c r="CA2" s="32"/>
      <c r="CB2" s="6"/>
      <c r="CC2" s="6"/>
      <c r="CD2" s="6"/>
      <c r="CE2" s="6"/>
      <c r="CF2" s="13">
        <f t="shared" ref="CF2:CF20" si="0">(G2*H2)/100-CK2</f>
        <v>935</v>
      </c>
      <c r="CG2" s="13">
        <f t="shared" ref="CG2:CG20" si="1">(G2*H2)/100</f>
        <v>935</v>
      </c>
      <c r="CH2" s="6"/>
      <c r="CK2" s="15"/>
    </row>
    <row r="3" spans="1:89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600</v>
      </c>
      <c r="H3" s="13">
        <v>74.900000000000006</v>
      </c>
      <c r="I3" s="13">
        <v>67.099999999999994</v>
      </c>
      <c r="J3" s="13">
        <v>71.099999999999994</v>
      </c>
      <c r="K3" s="13">
        <v>71.099999999999994</v>
      </c>
      <c r="L3" s="13">
        <v>75</v>
      </c>
      <c r="M3" s="13">
        <v>73.7</v>
      </c>
      <c r="N3" s="13">
        <v>75.2</v>
      </c>
      <c r="O3" s="13">
        <v>74.599999999999994</v>
      </c>
      <c r="P3" s="13">
        <v>74</v>
      </c>
      <c r="Q3" s="13">
        <v>70.099999999999994</v>
      </c>
      <c r="R3" s="13">
        <v>74.3</v>
      </c>
      <c r="S3" s="13">
        <v>77.3</v>
      </c>
      <c r="T3" s="13">
        <v>82.3</v>
      </c>
      <c r="U3" s="13">
        <v>75.2</v>
      </c>
      <c r="V3" s="13">
        <v>68.8</v>
      </c>
      <c r="W3" s="13">
        <v>89</v>
      </c>
      <c r="X3" s="13">
        <v>87.5</v>
      </c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4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29"/>
      <c r="BY3" s="13"/>
      <c r="BZ3" s="13"/>
      <c r="CA3" s="29"/>
      <c r="CB3" s="13"/>
      <c r="CC3" s="13"/>
      <c r="CD3" s="13"/>
      <c r="CE3" s="13"/>
      <c r="CF3" s="13">
        <f t="shared" si="0"/>
        <v>449.4</v>
      </c>
      <c r="CG3" s="13">
        <f t="shared" si="1"/>
        <v>449.4</v>
      </c>
      <c r="CH3" s="13">
        <f>(CG3-CF3)</f>
        <v>0</v>
      </c>
      <c r="CK3" s="15"/>
    </row>
    <row r="4" spans="1:89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למכור בהפסד</v>
      </c>
      <c r="E4" s="5" t="s">
        <v>32</v>
      </c>
      <c r="F4" s="4">
        <v>46029</v>
      </c>
      <c r="G4" s="27">
        <v>20</v>
      </c>
      <c r="H4" s="13">
        <v>5925</v>
      </c>
      <c r="I4" s="13">
        <v>5838</v>
      </c>
      <c r="J4" s="13">
        <v>6218</v>
      </c>
      <c r="K4" s="13">
        <v>6167</v>
      </c>
      <c r="L4" s="13">
        <v>5878</v>
      </c>
      <c r="M4" s="13">
        <v>6055</v>
      </c>
      <c r="N4" s="13">
        <v>6075</v>
      </c>
      <c r="O4" s="13">
        <v>5925</v>
      </c>
      <c r="P4" s="13">
        <v>5655</v>
      </c>
      <c r="Q4" s="13">
        <v>5714</v>
      </c>
      <c r="R4" s="13">
        <v>5891</v>
      </c>
      <c r="S4" s="13">
        <v>6011</v>
      </c>
      <c r="T4" s="13">
        <v>5990</v>
      </c>
      <c r="U4" s="13">
        <v>5990</v>
      </c>
      <c r="V4" s="13">
        <v>5956</v>
      </c>
      <c r="W4" s="13">
        <v>6298</v>
      </c>
      <c r="X4" s="13">
        <v>6295</v>
      </c>
      <c r="Y4" s="13">
        <v>6370</v>
      </c>
      <c r="Z4" s="13">
        <v>6140</v>
      </c>
      <c r="AA4" s="13">
        <v>7252</v>
      </c>
      <c r="AB4" s="13">
        <v>7120</v>
      </c>
      <c r="AC4" s="13">
        <v>7048</v>
      </c>
      <c r="AD4" s="13">
        <v>6979</v>
      </c>
      <c r="AE4" s="13">
        <v>6680</v>
      </c>
      <c r="AF4" s="13">
        <v>6111</v>
      </c>
      <c r="AG4" s="13">
        <v>6050</v>
      </c>
      <c r="AH4" s="13">
        <v>6169</v>
      </c>
      <c r="AI4" s="13">
        <v>6300</v>
      </c>
      <c r="AJ4" s="13">
        <v>6335</v>
      </c>
      <c r="AK4" s="13">
        <v>6335</v>
      </c>
      <c r="AL4" s="13">
        <v>6444</v>
      </c>
      <c r="AM4" s="13">
        <v>5749</v>
      </c>
      <c r="AN4" s="13">
        <v>5749</v>
      </c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29"/>
      <c r="BY4" s="13"/>
      <c r="BZ4" s="13"/>
      <c r="CA4" s="29"/>
      <c r="CB4" s="13"/>
      <c r="CC4" s="13"/>
      <c r="CD4" s="13"/>
      <c r="CE4" s="13"/>
      <c r="CF4" s="13">
        <f t="shared" si="0"/>
        <v>1185</v>
      </c>
      <c r="CG4" s="13">
        <f t="shared" si="1"/>
        <v>1185</v>
      </c>
      <c r="CH4" s="13">
        <f>(CG4-CF4)</f>
        <v>0</v>
      </c>
      <c r="CK4" s="15"/>
    </row>
    <row r="5" spans="1:89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510.2</v>
      </c>
      <c r="J5" s="13">
        <v>510.2</v>
      </c>
      <c r="K5" s="13">
        <v>510.2</v>
      </c>
      <c r="L5" s="13">
        <v>510.2</v>
      </c>
      <c r="M5" s="13">
        <v>510.2</v>
      </c>
      <c r="N5" s="13">
        <v>541.29999999999995</v>
      </c>
      <c r="O5" s="13">
        <v>572.4</v>
      </c>
      <c r="P5" s="13">
        <v>590.1</v>
      </c>
      <c r="Q5" s="13">
        <v>579.5</v>
      </c>
      <c r="R5" s="13">
        <v>614.5</v>
      </c>
      <c r="S5" s="13">
        <v>642.20000000000005</v>
      </c>
      <c r="T5" s="13">
        <v>656.2</v>
      </c>
      <c r="U5" s="13">
        <v>622.4</v>
      </c>
      <c r="V5" s="13">
        <v>594.9</v>
      </c>
      <c r="W5" s="13">
        <v>638</v>
      </c>
      <c r="X5" s="13">
        <v>587.5</v>
      </c>
      <c r="Y5" s="13">
        <v>577.9</v>
      </c>
      <c r="Z5" s="13">
        <v>559</v>
      </c>
      <c r="AA5" s="13">
        <v>570</v>
      </c>
      <c r="AB5" s="13">
        <v>575.70000000000005</v>
      </c>
      <c r="AC5" s="13">
        <v>612.6</v>
      </c>
      <c r="AD5" s="13">
        <v>638.29999999999995</v>
      </c>
      <c r="AE5" s="13">
        <v>630.29999999999995</v>
      </c>
      <c r="AF5" s="13">
        <v>626</v>
      </c>
      <c r="AG5" s="13">
        <v>595.4</v>
      </c>
      <c r="AH5" s="13">
        <v>667.1</v>
      </c>
      <c r="AI5" s="13">
        <v>651</v>
      </c>
      <c r="AJ5" s="13">
        <v>641.1</v>
      </c>
      <c r="AK5" s="13">
        <v>641.1</v>
      </c>
      <c r="AL5" s="13">
        <v>607.1</v>
      </c>
      <c r="AM5" s="13">
        <v>583</v>
      </c>
      <c r="AN5" s="13">
        <v>581.6</v>
      </c>
      <c r="AO5" s="13">
        <v>578.70000000000005</v>
      </c>
      <c r="AP5" s="13">
        <v>590</v>
      </c>
      <c r="AQ5" s="13">
        <v>554.70000000000005</v>
      </c>
      <c r="AR5" s="13">
        <v>511.8</v>
      </c>
      <c r="AS5" s="13">
        <v>487</v>
      </c>
      <c r="AT5" s="13">
        <v>478.8</v>
      </c>
      <c r="AU5" s="13">
        <v>485.5</v>
      </c>
      <c r="AV5" s="13">
        <v>453.4</v>
      </c>
      <c r="AW5" s="13">
        <v>426.1</v>
      </c>
      <c r="AX5" s="13">
        <v>423.2</v>
      </c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29"/>
      <c r="BY5" s="13"/>
      <c r="BZ5" s="13"/>
      <c r="CA5" s="29"/>
      <c r="CB5" s="13"/>
      <c r="CC5" s="13"/>
      <c r="CD5" s="13"/>
      <c r="CE5" s="13"/>
      <c r="CF5" s="13">
        <f t="shared" si="0"/>
        <v>0</v>
      </c>
      <c r="CG5" s="13">
        <f t="shared" si="1"/>
        <v>0</v>
      </c>
      <c r="CH5" s="13"/>
      <c r="CK5" s="15"/>
    </row>
    <row r="6" spans="1:89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5637</v>
      </c>
      <c r="J6" s="13">
        <v>6058</v>
      </c>
      <c r="K6" s="13">
        <v>5748</v>
      </c>
      <c r="L6" s="13">
        <v>6122</v>
      </c>
      <c r="M6" s="13">
        <v>6221</v>
      </c>
      <c r="N6" s="13">
        <v>6014</v>
      </c>
      <c r="O6" s="13">
        <v>5675</v>
      </c>
      <c r="P6" s="13">
        <v>5450</v>
      </c>
      <c r="Q6" s="13">
        <v>5385</v>
      </c>
      <c r="R6" s="13">
        <v>5170</v>
      </c>
      <c r="S6" s="13">
        <v>5059</v>
      </c>
      <c r="T6" s="13">
        <v>4880</v>
      </c>
      <c r="U6" s="13">
        <v>4647</v>
      </c>
      <c r="V6" s="13">
        <v>4650</v>
      </c>
      <c r="W6" s="13">
        <v>4799</v>
      </c>
      <c r="X6" s="13">
        <v>4740</v>
      </c>
      <c r="Y6" s="13">
        <v>4350</v>
      </c>
      <c r="Z6" s="13">
        <v>4355</v>
      </c>
      <c r="AA6" s="13">
        <v>4500</v>
      </c>
      <c r="AB6" s="13">
        <v>4424</v>
      </c>
      <c r="AC6" s="13">
        <v>4412</v>
      </c>
      <c r="AD6" s="13">
        <v>4450</v>
      </c>
      <c r="AE6" s="13">
        <v>4238</v>
      </c>
      <c r="AF6" s="13">
        <v>3970</v>
      </c>
      <c r="AG6" s="13">
        <v>3870</v>
      </c>
      <c r="AH6" s="13">
        <v>3805</v>
      </c>
      <c r="AI6" s="13">
        <v>3667</v>
      </c>
      <c r="AJ6" s="13">
        <v>3582</v>
      </c>
      <c r="AK6" s="13">
        <v>3582</v>
      </c>
      <c r="AL6" s="13">
        <v>3570</v>
      </c>
      <c r="AM6" s="13">
        <v>3619</v>
      </c>
      <c r="AN6" s="13">
        <v>3650</v>
      </c>
      <c r="AO6" s="13">
        <v>3720</v>
      </c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29"/>
      <c r="BY6" s="13"/>
      <c r="BZ6" s="13"/>
      <c r="CA6" s="29"/>
      <c r="CB6" s="13"/>
      <c r="CC6" s="13"/>
      <c r="CD6" s="13"/>
      <c r="CF6" s="13">
        <f t="shared" si="0"/>
        <v>1587.1975</v>
      </c>
      <c r="CG6" s="13">
        <f t="shared" si="1"/>
        <v>1587.1975</v>
      </c>
      <c r="CH6" s="13">
        <f t="shared" ref="CH6" si="2">(CG6-CF6)</f>
        <v>0</v>
      </c>
      <c r="CK6" s="15"/>
    </row>
    <row r="7" spans="1:89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4030</v>
      </c>
      <c r="J7" s="13">
        <v>4117</v>
      </c>
      <c r="K7" s="13">
        <v>4119</v>
      </c>
      <c r="L7" s="13">
        <v>4124</v>
      </c>
      <c r="M7" s="13">
        <v>4109</v>
      </c>
      <c r="N7" s="13">
        <v>4070</v>
      </c>
      <c r="O7" s="13">
        <v>4081</v>
      </c>
      <c r="P7" s="13">
        <v>4074</v>
      </c>
      <c r="Q7" s="13">
        <v>4093</v>
      </c>
      <c r="R7" s="13">
        <v>4069</v>
      </c>
      <c r="S7" s="13">
        <v>4085</v>
      </c>
      <c r="T7" s="13">
        <v>3996</v>
      </c>
      <c r="U7" s="13">
        <v>3954</v>
      </c>
      <c r="V7" s="13">
        <v>3955</v>
      </c>
      <c r="W7" s="13">
        <v>4022</v>
      </c>
      <c r="X7" s="13">
        <v>4033</v>
      </c>
      <c r="Y7" s="13">
        <v>3988</v>
      </c>
      <c r="Z7" s="13">
        <v>3916</v>
      </c>
      <c r="AA7" s="13">
        <v>3954</v>
      </c>
      <c r="AB7" s="13">
        <v>3932</v>
      </c>
      <c r="AC7" s="13">
        <v>3949</v>
      </c>
      <c r="AD7" s="13">
        <v>3943</v>
      </c>
      <c r="AE7" s="13">
        <v>3928</v>
      </c>
      <c r="AF7" s="13">
        <v>3913</v>
      </c>
      <c r="AG7" s="13">
        <v>3860</v>
      </c>
      <c r="AH7" s="13">
        <v>3893</v>
      </c>
      <c r="AI7" s="13">
        <v>3900</v>
      </c>
      <c r="AJ7" s="13">
        <v>3842</v>
      </c>
      <c r="AK7" s="13">
        <v>3842</v>
      </c>
      <c r="AL7" s="13">
        <v>3841</v>
      </c>
      <c r="AM7" s="13">
        <v>3809</v>
      </c>
      <c r="AN7" s="13">
        <v>3810</v>
      </c>
      <c r="AO7" s="13">
        <v>3798</v>
      </c>
      <c r="AP7" s="13">
        <v>3713</v>
      </c>
      <c r="AQ7" s="13">
        <v>3657</v>
      </c>
      <c r="AR7" s="13">
        <v>3592</v>
      </c>
      <c r="AS7" s="13">
        <v>3621</v>
      </c>
      <c r="AT7" s="13">
        <v>3572</v>
      </c>
      <c r="AU7" s="13">
        <v>3580</v>
      </c>
      <c r="AV7" s="13">
        <v>3569</v>
      </c>
      <c r="AW7" s="13">
        <v>3659</v>
      </c>
      <c r="AX7" s="13">
        <v>3656</v>
      </c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29"/>
      <c r="BY7" s="13"/>
      <c r="BZ7" s="13"/>
      <c r="CA7" s="29"/>
      <c r="CB7" s="13"/>
      <c r="CC7" s="13"/>
      <c r="CD7" s="13"/>
      <c r="CE7" s="13"/>
      <c r="CF7" s="13">
        <f t="shared" si="0"/>
        <v>2509.5</v>
      </c>
      <c r="CG7" s="13">
        <f t="shared" si="1"/>
        <v>2509.5</v>
      </c>
      <c r="CH7" s="13"/>
      <c r="CK7" s="15"/>
    </row>
    <row r="8" spans="1:89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4</v>
      </c>
      <c r="H8" s="13">
        <v>39632.5</v>
      </c>
      <c r="I8" s="13">
        <v>39760</v>
      </c>
      <c r="J8" s="13">
        <v>39630</v>
      </c>
      <c r="K8" s="13">
        <v>39540</v>
      </c>
      <c r="L8" s="13">
        <v>40240</v>
      </c>
      <c r="M8" s="13">
        <v>40940</v>
      </c>
      <c r="N8" s="13">
        <v>39370</v>
      </c>
      <c r="O8" s="13">
        <v>40780</v>
      </c>
      <c r="P8" s="13">
        <v>41300</v>
      </c>
      <c r="Q8" s="13">
        <v>40180</v>
      </c>
      <c r="R8" s="13">
        <v>41140</v>
      </c>
      <c r="S8" s="13">
        <v>43310</v>
      </c>
      <c r="T8" s="13">
        <v>45300</v>
      </c>
      <c r="U8" s="13">
        <v>40740</v>
      </c>
      <c r="V8" s="13">
        <v>39070</v>
      </c>
      <c r="W8" s="13">
        <v>39600</v>
      </c>
      <c r="X8" s="13">
        <v>43640</v>
      </c>
      <c r="Y8" s="13">
        <v>42700</v>
      </c>
      <c r="Z8" s="13">
        <v>42140</v>
      </c>
      <c r="AA8" s="13">
        <v>43490</v>
      </c>
      <c r="AB8" s="13">
        <v>40750</v>
      </c>
      <c r="AC8" s="13">
        <v>40900</v>
      </c>
      <c r="AD8" s="13">
        <v>40790</v>
      </c>
      <c r="AE8" s="13">
        <v>40820</v>
      </c>
      <c r="AF8" s="13">
        <v>41570</v>
      </c>
      <c r="AG8" s="13">
        <v>42050</v>
      </c>
      <c r="AH8" s="13">
        <v>39960</v>
      </c>
      <c r="AI8" s="13">
        <v>39990</v>
      </c>
      <c r="AJ8" s="13">
        <v>38680</v>
      </c>
      <c r="AK8" s="13">
        <v>38680</v>
      </c>
      <c r="AL8" s="13">
        <v>37770</v>
      </c>
      <c r="AM8" s="13">
        <v>36330</v>
      </c>
      <c r="AN8" s="13">
        <v>38680</v>
      </c>
      <c r="AO8" s="13">
        <v>39090</v>
      </c>
      <c r="AP8" s="13">
        <v>37300</v>
      </c>
      <c r="AQ8" s="13">
        <v>37650</v>
      </c>
      <c r="AR8" s="13">
        <v>37300</v>
      </c>
      <c r="AS8" s="13">
        <v>39450</v>
      </c>
      <c r="AT8" s="13">
        <v>38390</v>
      </c>
      <c r="AU8" s="13">
        <v>38800</v>
      </c>
      <c r="AV8" s="13">
        <v>38510</v>
      </c>
      <c r="AW8" s="13">
        <v>38970</v>
      </c>
      <c r="AX8" s="13">
        <v>38970</v>
      </c>
      <c r="AY8" s="13">
        <v>37700</v>
      </c>
      <c r="AZ8" s="13">
        <v>37700</v>
      </c>
      <c r="BA8" s="13">
        <v>37750</v>
      </c>
      <c r="BB8" s="13">
        <v>38430</v>
      </c>
      <c r="BC8" s="13">
        <v>38250</v>
      </c>
      <c r="BD8" s="13">
        <v>40110</v>
      </c>
      <c r="BE8" s="13">
        <v>40820</v>
      </c>
      <c r="BF8" s="13">
        <v>39320</v>
      </c>
      <c r="BG8" s="13">
        <v>37800</v>
      </c>
      <c r="BH8" s="13">
        <v>36620</v>
      </c>
      <c r="BI8" s="13">
        <v>37130</v>
      </c>
      <c r="BJ8" s="13">
        <v>35850</v>
      </c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29"/>
      <c r="BY8" s="13"/>
      <c r="BZ8" s="13"/>
      <c r="CA8" s="29"/>
      <c r="CB8" s="13"/>
      <c r="CC8" s="13"/>
      <c r="CD8" s="13"/>
      <c r="CE8" s="13"/>
      <c r="CF8" s="13">
        <f t="shared" si="0"/>
        <v>1585.3</v>
      </c>
      <c r="CG8" s="13">
        <f t="shared" si="1"/>
        <v>1585.3</v>
      </c>
      <c r="CH8" s="13">
        <f t="shared" ref="CH8:CH11" si="3">(CG8-CF8)</f>
        <v>0</v>
      </c>
      <c r="CK8" s="15"/>
    </row>
    <row r="9" spans="1:89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68</v>
      </c>
      <c r="F9" s="4">
        <v>46016</v>
      </c>
      <c r="G9" s="27">
        <v>80</v>
      </c>
      <c r="H9" s="13">
        <v>901.87</v>
      </c>
      <c r="I9" s="13">
        <v>1024</v>
      </c>
      <c r="J9" s="13">
        <v>1040</v>
      </c>
      <c r="K9" s="13">
        <v>1012</v>
      </c>
      <c r="L9" s="13">
        <v>1025</v>
      </c>
      <c r="M9" s="13">
        <v>1037</v>
      </c>
      <c r="N9" s="13">
        <v>1037</v>
      </c>
      <c r="O9" s="13">
        <v>1048</v>
      </c>
      <c r="P9" s="13">
        <v>1060</v>
      </c>
      <c r="Q9" s="13">
        <v>1050</v>
      </c>
      <c r="R9" s="13">
        <v>1074</v>
      </c>
      <c r="S9" s="13">
        <v>1070</v>
      </c>
      <c r="T9" s="13">
        <v>1086</v>
      </c>
      <c r="U9" s="13">
        <v>1054</v>
      </c>
      <c r="V9" s="13">
        <v>1063</v>
      </c>
      <c r="W9" s="13">
        <v>1099</v>
      </c>
      <c r="X9" s="13">
        <v>1173</v>
      </c>
      <c r="Y9" s="13">
        <v>1114</v>
      </c>
      <c r="Z9" s="13">
        <v>1075</v>
      </c>
      <c r="AA9" s="13">
        <v>1109</v>
      </c>
      <c r="AB9" s="13">
        <v>1090</v>
      </c>
      <c r="AC9" s="13">
        <v>1144</v>
      </c>
      <c r="AD9" s="13">
        <v>1162</v>
      </c>
      <c r="AE9" s="13">
        <v>1109</v>
      </c>
      <c r="AF9" s="13">
        <v>1029</v>
      </c>
      <c r="AG9" s="13">
        <v>993</v>
      </c>
      <c r="AH9" s="13">
        <v>1017</v>
      </c>
      <c r="AI9" s="13">
        <v>960</v>
      </c>
      <c r="AJ9" s="13">
        <v>965</v>
      </c>
      <c r="AK9" s="13">
        <v>965</v>
      </c>
      <c r="AL9" s="13">
        <v>951.7</v>
      </c>
      <c r="AM9" s="13">
        <v>946</v>
      </c>
      <c r="AN9" s="13">
        <v>869.2</v>
      </c>
      <c r="AO9" s="13">
        <v>865</v>
      </c>
      <c r="AP9" s="13">
        <v>851</v>
      </c>
      <c r="AQ9" s="13">
        <v>829.3</v>
      </c>
      <c r="AR9" s="13">
        <v>830</v>
      </c>
      <c r="AS9" s="13">
        <v>810</v>
      </c>
      <c r="AT9" s="13">
        <v>812.8</v>
      </c>
      <c r="AU9" s="13">
        <v>788</v>
      </c>
      <c r="AV9" s="13">
        <v>772</v>
      </c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29"/>
      <c r="BY9" s="13"/>
      <c r="BZ9" s="13"/>
      <c r="CA9" s="29"/>
      <c r="CB9" s="13"/>
      <c r="CC9" s="13"/>
      <c r="CD9" s="13"/>
      <c r="CE9" s="13"/>
      <c r="CF9" s="13">
        <f t="shared" si="0"/>
        <v>721.49600000000009</v>
      </c>
      <c r="CG9" s="13">
        <f t="shared" si="1"/>
        <v>721.49600000000009</v>
      </c>
      <c r="CH9" s="13">
        <f t="shared" si="3"/>
        <v>0</v>
      </c>
      <c r="CK9" s="15"/>
    </row>
    <row r="10" spans="1:89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69.599999999999994</v>
      </c>
      <c r="J10" s="13">
        <v>73.099999999999994</v>
      </c>
      <c r="K10" s="13">
        <v>72.400000000000006</v>
      </c>
      <c r="L10" s="13">
        <v>72.400000000000006</v>
      </c>
      <c r="M10" s="13">
        <v>72.400000000000006</v>
      </c>
      <c r="N10" s="13">
        <v>73.7</v>
      </c>
      <c r="O10" s="13">
        <v>78.900000000000006</v>
      </c>
      <c r="P10" s="13">
        <v>79.400000000000006</v>
      </c>
      <c r="Q10" s="13">
        <v>89.9</v>
      </c>
      <c r="R10" s="13">
        <v>82.2</v>
      </c>
      <c r="S10" s="13">
        <v>74.5</v>
      </c>
      <c r="T10" s="13">
        <v>67.900000000000006</v>
      </c>
      <c r="U10" s="13">
        <v>71.3</v>
      </c>
      <c r="V10" s="13">
        <v>72.099999999999994</v>
      </c>
      <c r="W10" s="13">
        <v>86.7</v>
      </c>
      <c r="X10" s="13">
        <v>91.5</v>
      </c>
      <c r="Y10" s="13">
        <v>91.5</v>
      </c>
      <c r="Z10" s="13">
        <v>132.6</v>
      </c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29"/>
      <c r="BY10" s="13"/>
      <c r="BZ10" s="13"/>
      <c r="CA10" s="29"/>
      <c r="CB10" s="13"/>
      <c r="CC10" s="13"/>
      <c r="CD10" s="13"/>
      <c r="CE10" s="13"/>
      <c r="CF10" s="13">
        <f t="shared" si="0"/>
        <v>0</v>
      </c>
      <c r="CG10" s="13">
        <f t="shared" si="1"/>
        <v>0</v>
      </c>
      <c r="CH10" s="13">
        <f t="shared" si="3"/>
        <v>0</v>
      </c>
      <c r="CK10" s="15"/>
    </row>
    <row r="11" spans="1:89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8035</v>
      </c>
      <c r="J11" s="13">
        <v>8204</v>
      </c>
      <c r="K11" s="13">
        <v>8040</v>
      </c>
      <c r="L11" s="13">
        <v>8259</v>
      </c>
      <c r="M11" s="13">
        <v>8253</v>
      </c>
      <c r="N11" s="13">
        <v>8269</v>
      </c>
      <c r="O11" s="13">
        <v>8234</v>
      </c>
      <c r="P11" s="13">
        <v>8294</v>
      </c>
      <c r="Q11" s="13">
        <v>8429</v>
      </c>
      <c r="R11" s="13">
        <v>8276</v>
      </c>
      <c r="S11" s="13">
        <v>8280</v>
      </c>
      <c r="T11" s="13">
        <v>8100</v>
      </c>
      <c r="U11" s="13">
        <v>7922</v>
      </c>
      <c r="V11" s="13">
        <v>7884</v>
      </c>
      <c r="W11" s="13">
        <v>8051</v>
      </c>
      <c r="X11" s="13">
        <v>7911</v>
      </c>
      <c r="Y11" s="13">
        <v>7833</v>
      </c>
      <c r="Z11" s="13">
        <v>7687</v>
      </c>
      <c r="AA11" s="13">
        <v>7672</v>
      </c>
      <c r="AB11" s="13">
        <v>7676</v>
      </c>
      <c r="AC11" s="13">
        <v>7844</v>
      </c>
      <c r="AD11" s="13">
        <v>7810</v>
      </c>
      <c r="AE11" s="13">
        <v>7710</v>
      </c>
      <c r="AF11" s="13">
        <v>7735</v>
      </c>
      <c r="AG11" s="13">
        <v>7725</v>
      </c>
      <c r="AH11" s="13">
        <v>7787</v>
      </c>
      <c r="AI11" s="13">
        <v>7955</v>
      </c>
      <c r="AJ11" s="13">
        <v>7627</v>
      </c>
      <c r="AK11" s="13">
        <v>7627</v>
      </c>
      <c r="AL11" s="13">
        <v>7656</v>
      </c>
      <c r="AM11" s="13">
        <v>7507</v>
      </c>
      <c r="AN11" s="13">
        <v>7590</v>
      </c>
      <c r="AO11" s="13">
        <v>7569</v>
      </c>
      <c r="AP11" s="13">
        <v>7269</v>
      </c>
      <c r="AQ11" s="13">
        <v>7444</v>
      </c>
      <c r="AR11" s="13">
        <v>7205</v>
      </c>
      <c r="AS11" s="13">
        <v>7298</v>
      </c>
      <c r="AT11" s="13">
        <v>7222</v>
      </c>
      <c r="AU11" s="13">
        <v>7079</v>
      </c>
      <c r="AV11" s="13">
        <v>7140</v>
      </c>
      <c r="AW11" s="13">
        <v>7440</v>
      </c>
      <c r="AX11" s="13">
        <v>7530</v>
      </c>
      <c r="AY11" s="13">
        <v>7535</v>
      </c>
      <c r="AZ11" s="13">
        <v>7535</v>
      </c>
      <c r="BA11" s="13">
        <v>7568</v>
      </c>
      <c r="BB11" s="13">
        <v>7699</v>
      </c>
      <c r="BC11" s="13">
        <v>7638</v>
      </c>
      <c r="BD11" s="13">
        <v>7654</v>
      </c>
      <c r="BE11" s="13">
        <v>7584</v>
      </c>
      <c r="BF11" s="13">
        <v>7479</v>
      </c>
      <c r="BG11" s="13">
        <v>7490</v>
      </c>
      <c r="BH11" s="13">
        <v>7480</v>
      </c>
      <c r="BI11" s="13">
        <v>7270</v>
      </c>
      <c r="BJ11" s="13">
        <v>7163</v>
      </c>
      <c r="BK11" s="13">
        <v>7231</v>
      </c>
      <c r="BL11" s="13">
        <v>7100</v>
      </c>
      <c r="BM11" s="13">
        <v>7100</v>
      </c>
      <c r="BN11" s="13">
        <v>7027</v>
      </c>
      <c r="BO11" s="13">
        <v>6984</v>
      </c>
      <c r="BP11" s="13">
        <v>6944</v>
      </c>
      <c r="BQ11" s="13">
        <v>6924</v>
      </c>
      <c r="BR11" s="13">
        <v>6930</v>
      </c>
      <c r="BS11" s="13">
        <v>6938</v>
      </c>
      <c r="BT11" s="13">
        <v>6989</v>
      </c>
      <c r="BU11" s="13">
        <v>6871</v>
      </c>
      <c r="BV11" s="13">
        <v>6943</v>
      </c>
      <c r="BW11" s="13">
        <v>7040</v>
      </c>
      <c r="BX11" s="29">
        <v>6696</v>
      </c>
      <c r="BY11" s="13">
        <v>6965</v>
      </c>
      <c r="BZ11" s="13">
        <v>6788</v>
      </c>
      <c r="CA11" s="29">
        <v>6696</v>
      </c>
      <c r="CB11" s="13">
        <v>6625</v>
      </c>
      <c r="CC11" s="13">
        <v>6660</v>
      </c>
      <c r="CD11" s="13">
        <v>6791</v>
      </c>
      <c r="CE11" s="13">
        <v>6610</v>
      </c>
      <c r="CF11" s="13">
        <f t="shared" si="0"/>
        <v>648.37980000000005</v>
      </c>
      <c r="CG11" s="13">
        <f t="shared" si="1"/>
        <v>648.37980000000005</v>
      </c>
      <c r="CH11" s="13">
        <f t="shared" si="3"/>
        <v>0</v>
      </c>
      <c r="CK11" s="15"/>
    </row>
    <row r="12" spans="1:89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לשמור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13939.5</v>
      </c>
      <c r="J12" s="13">
        <v>13939.5</v>
      </c>
      <c r="K12" s="13">
        <v>13528.87</v>
      </c>
      <c r="L12" s="13">
        <v>12655.37</v>
      </c>
      <c r="M12" s="13">
        <v>12655.37</v>
      </c>
      <c r="N12" s="13">
        <v>12295.75</v>
      </c>
      <c r="O12" s="13">
        <v>12858.37</v>
      </c>
      <c r="P12" s="13">
        <v>12829.25</v>
      </c>
      <c r="Q12" s="13">
        <v>13287.75</v>
      </c>
      <c r="R12" s="13">
        <v>13100</v>
      </c>
      <c r="S12" s="13">
        <v>12946.62</v>
      </c>
      <c r="T12" s="13">
        <v>13244</v>
      </c>
      <c r="U12" s="13">
        <v>12628.12</v>
      </c>
      <c r="V12" s="13">
        <v>11710.62</v>
      </c>
      <c r="W12" s="13">
        <v>12145</v>
      </c>
      <c r="X12" s="13">
        <v>11855.12</v>
      </c>
      <c r="Y12" s="13">
        <v>11946.75</v>
      </c>
      <c r="Z12" s="13">
        <v>11946.75</v>
      </c>
      <c r="AA12" s="13">
        <v>14679.12</v>
      </c>
      <c r="AB12" s="13">
        <v>14679.12</v>
      </c>
      <c r="AC12" s="13">
        <v>13968</v>
      </c>
      <c r="AD12" s="13">
        <v>15528.12</v>
      </c>
      <c r="AE12" s="13">
        <v>14358.25</v>
      </c>
      <c r="AF12" s="13">
        <v>14385.75</v>
      </c>
      <c r="AG12" s="13">
        <v>13880</v>
      </c>
      <c r="AH12" s="13">
        <v>13610.62</v>
      </c>
      <c r="AI12" s="13">
        <v>13016</v>
      </c>
      <c r="AJ12" s="13">
        <v>12487.37</v>
      </c>
      <c r="AK12" s="13">
        <v>12638.62</v>
      </c>
      <c r="AL12" s="13">
        <v>12533.87</v>
      </c>
      <c r="AM12" s="13">
        <v>11299.5</v>
      </c>
      <c r="AN12" s="13">
        <v>11193.12</v>
      </c>
      <c r="AO12" s="13">
        <v>11548.62</v>
      </c>
      <c r="AP12" s="13">
        <v>11125.62</v>
      </c>
      <c r="AQ12" s="13">
        <v>10932.12</v>
      </c>
      <c r="AR12" s="13">
        <v>11095.62</v>
      </c>
      <c r="AS12" s="13">
        <v>10910.58</v>
      </c>
      <c r="AT12" s="13">
        <v>11609.37</v>
      </c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29"/>
      <c r="BY12" s="13"/>
      <c r="BZ12" s="13"/>
      <c r="CA12" s="29"/>
      <c r="CB12" s="13"/>
      <c r="CC12" s="13"/>
      <c r="CD12" s="13"/>
      <c r="CE12" s="13"/>
      <c r="CF12" s="13">
        <f t="shared" si="0"/>
        <v>74.232799999999997</v>
      </c>
      <c r="CG12" s="13">
        <f t="shared" si="1"/>
        <v>74.232799999999997</v>
      </c>
      <c r="CH12" s="13"/>
      <c r="CK12" s="15"/>
    </row>
    <row r="13" spans="1:89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224.64</v>
      </c>
      <c r="J13" s="13">
        <v>224.52</v>
      </c>
      <c r="K13" s="13">
        <v>219.67</v>
      </c>
      <c r="L13" s="13">
        <v>220</v>
      </c>
      <c r="M13" s="13">
        <v>220</v>
      </c>
      <c r="N13" s="13">
        <v>217.08</v>
      </c>
      <c r="O13" s="13">
        <v>212.67</v>
      </c>
      <c r="P13" s="13">
        <v>214.11</v>
      </c>
      <c r="Q13" s="13">
        <v>216.07</v>
      </c>
      <c r="R13" s="13">
        <v>216.07</v>
      </c>
      <c r="S13" s="13">
        <v>219.37</v>
      </c>
      <c r="T13" s="13">
        <v>216</v>
      </c>
      <c r="U13" s="13">
        <v>216.57</v>
      </c>
      <c r="V13" s="13">
        <v>216.57</v>
      </c>
      <c r="W13" s="13">
        <v>221.02</v>
      </c>
      <c r="X13" s="13">
        <v>218.38</v>
      </c>
      <c r="Y13" s="13">
        <v>218.36</v>
      </c>
      <c r="Z13" s="13">
        <v>223.13</v>
      </c>
      <c r="AA13" s="13">
        <v>227.54</v>
      </c>
      <c r="AB13" s="13">
        <v>226.96</v>
      </c>
      <c r="AC13" s="13">
        <v>225.24</v>
      </c>
      <c r="AD13" s="13">
        <v>223.25</v>
      </c>
      <c r="AE13" s="13">
        <v>219.14</v>
      </c>
      <c r="AF13" s="13">
        <v>219.14</v>
      </c>
      <c r="AG13" s="13">
        <v>219.3</v>
      </c>
      <c r="AH13" s="13">
        <v>222.79</v>
      </c>
      <c r="AI13" s="13">
        <v>221.16</v>
      </c>
      <c r="AJ13" s="13">
        <v>220.66</v>
      </c>
      <c r="AK13" s="13">
        <v>222.06</v>
      </c>
      <c r="AL13" s="13">
        <v>218.71</v>
      </c>
      <c r="AM13" s="13">
        <v>216.74</v>
      </c>
      <c r="AN13" s="13">
        <v>216.04</v>
      </c>
      <c r="AO13" s="13">
        <v>210.69</v>
      </c>
      <c r="AP13" s="13">
        <v>210.69</v>
      </c>
      <c r="AQ13" s="13">
        <v>198</v>
      </c>
      <c r="AR13" s="13">
        <v>196.74</v>
      </c>
      <c r="AS13" s="13">
        <v>192.56</v>
      </c>
      <c r="AT13" s="13">
        <v>192.23</v>
      </c>
      <c r="AU13" s="13">
        <v>191.19</v>
      </c>
      <c r="AV13" s="13">
        <v>193.62</v>
      </c>
      <c r="AW13" s="13">
        <v>190.75</v>
      </c>
      <c r="AX13" s="13">
        <v>189.06</v>
      </c>
      <c r="AY13" s="13">
        <v>182.73</v>
      </c>
      <c r="AZ13" s="13">
        <v>182.73</v>
      </c>
      <c r="BA13" s="13">
        <v>177.92</v>
      </c>
      <c r="BB13" s="13">
        <v>179.16</v>
      </c>
      <c r="BC13" s="13">
        <v>179.34</v>
      </c>
      <c r="BD13" s="13">
        <v>176.5</v>
      </c>
      <c r="BE13" s="13">
        <v>176.5</v>
      </c>
      <c r="BF13" s="13">
        <v>175.93</v>
      </c>
      <c r="BG13" s="13">
        <v>174.51</v>
      </c>
      <c r="BH13" s="13">
        <v>173.91</v>
      </c>
      <c r="BI13" s="13">
        <v>177.1</v>
      </c>
      <c r="BJ13" s="13">
        <v>178.24</v>
      </c>
      <c r="BK13" s="13">
        <v>176.52</v>
      </c>
      <c r="BL13" s="13">
        <v>178.27</v>
      </c>
      <c r="BM13" s="13">
        <v>175.29</v>
      </c>
      <c r="BN13" s="13">
        <v>175.34</v>
      </c>
      <c r="BO13" s="13">
        <v>174.41</v>
      </c>
      <c r="BP13" s="13">
        <v>176.22</v>
      </c>
      <c r="BQ13" s="13">
        <v>174</v>
      </c>
      <c r="BR13" s="13">
        <v>176.35</v>
      </c>
      <c r="BS13" s="13">
        <v>177.71</v>
      </c>
      <c r="BT13" s="13">
        <v>180.08</v>
      </c>
      <c r="BU13" s="13">
        <v>181.96</v>
      </c>
      <c r="BV13" s="13">
        <v>182.9</v>
      </c>
      <c r="BW13" s="13">
        <v>181.86</v>
      </c>
      <c r="BX13" s="29">
        <v>182.56</v>
      </c>
      <c r="BY13" s="13">
        <v>181.07</v>
      </c>
      <c r="BZ13" s="13">
        <v>182.56</v>
      </c>
      <c r="CA13" s="29">
        <v>182.56</v>
      </c>
      <c r="CB13" s="13">
        <v>178.86</v>
      </c>
      <c r="CC13" s="13">
        <v>180.16</v>
      </c>
      <c r="CD13" s="13">
        <v>179.56</v>
      </c>
      <c r="CE13" s="13">
        <v>176.55</v>
      </c>
      <c r="CF13" s="13">
        <f t="shared" si="0"/>
        <v>986.15</v>
      </c>
      <c r="CG13" s="13">
        <f t="shared" si="1"/>
        <v>986.15</v>
      </c>
      <c r="CH13" s="13"/>
      <c r="CK13" s="15"/>
    </row>
    <row r="14" spans="1:89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191.64</v>
      </c>
      <c r="J14" s="13">
        <v>191.64</v>
      </c>
      <c r="K14" s="13">
        <v>188.1</v>
      </c>
      <c r="L14" s="13">
        <v>188.1</v>
      </c>
      <c r="M14" s="13">
        <v>188.1</v>
      </c>
      <c r="N14" s="13">
        <v>188.1</v>
      </c>
      <c r="O14" s="13">
        <v>188.1</v>
      </c>
      <c r="P14" s="13">
        <v>188.59</v>
      </c>
      <c r="Q14" s="13">
        <v>189.53</v>
      </c>
      <c r="R14" s="13">
        <v>189.53</v>
      </c>
      <c r="S14" s="13">
        <v>181.5</v>
      </c>
      <c r="T14" s="13">
        <v>181.5</v>
      </c>
      <c r="U14" s="13">
        <v>177.17</v>
      </c>
      <c r="V14" s="13">
        <v>186.88</v>
      </c>
      <c r="W14" s="13">
        <v>184.42</v>
      </c>
      <c r="X14" s="13">
        <v>184.42</v>
      </c>
      <c r="Y14" s="13">
        <v>184.42</v>
      </c>
      <c r="Z14" s="13">
        <v>199.37</v>
      </c>
      <c r="AA14" s="13">
        <v>194.88</v>
      </c>
      <c r="AB14" s="13">
        <v>189.51</v>
      </c>
      <c r="AC14" s="13">
        <v>189.51</v>
      </c>
      <c r="AD14" s="13">
        <v>189.51</v>
      </c>
      <c r="AE14" s="13">
        <v>185.52</v>
      </c>
      <c r="AF14" s="13">
        <v>185.52</v>
      </c>
      <c r="AG14" s="13">
        <v>178.98</v>
      </c>
      <c r="AH14" s="13">
        <v>178.98</v>
      </c>
      <c r="AI14" s="13">
        <v>178.98</v>
      </c>
      <c r="AJ14" s="13">
        <v>170.7</v>
      </c>
      <c r="AK14" s="13">
        <v>170.7</v>
      </c>
      <c r="AL14" s="13">
        <v>170.7</v>
      </c>
      <c r="AM14" s="13">
        <v>170.45</v>
      </c>
      <c r="AN14" s="13">
        <v>160.84</v>
      </c>
      <c r="AO14" s="13">
        <v>160.84</v>
      </c>
      <c r="AP14" s="13">
        <v>160.84</v>
      </c>
      <c r="AQ14" s="13">
        <v>159.02000000000001</v>
      </c>
      <c r="AR14" s="13">
        <v>159.65</v>
      </c>
      <c r="AS14" s="13">
        <v>159.65</v>
      </c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29"/>
      <c r="BY14" s="13"/>
      <c r="BZ14" s="13"/>
      <c r="CA14" s="29"/>
      <c r="CB14" s="13"/>
      <c r="CC14" s="13"/>
      <c r="CD14" s="13"/>
      <c r="CE14" s="13"/>
      <c r="CF14" s="13">
        <f t="shared" si="0"/>
        <v>954.12</v>
      </c>
      <c r="CG14" s="13">
        <f t="shared" si="1"/>
        <v>954.12</v>
      </c>
      <c r="CH14" s="13">
        <f t="shared" ref="CH14" si="4">(CG14-CF14)</f>
        <v>0</v>
      </c>
      <c r="CK14" s="15"/>
    </row>
    <row r="15" spans="1:89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1901</v>
      </c>
      <c r="J15" s="13">
        <v>1960</v>
      </c>
      <c r="K15" s="13">
        <v>1962</v>
      </c>
      <c r="L15" s="13">
        <v>2007</v>
      </c>
      <c r="M15" s="13">
        <v>2033</v>
      </c>
      <c r="N15" s="13">
        <v>2004</v>
      </c>
      <c r="O15" s="13">
        <v>1944</v>
      </c>
      <c r="P15" s="13">
        <v>1941</v>
      </c>
      <c r="Q15" s="13">
        <v>1939</v>
      </c>
      <c r="R15" s="13">
        <v>1912</v>
      </c>
      <c r="S15" s="13">
        <v>1891</v>
      </c>
      <c r="T15" s="13">
        <v>1864</v>
      </c>
      <c r="U15" s="13">
        <v>1823</v>
      </c>
      <c r="V15" s="13">
        <v>1819</v>
      </c>
      <c r="W15" s="13">
        <v>1866</v>
      </c>
      <c r="X15" s="13">
        <v>1886</v>
      </c>
      <c r="Y15" s="13">
        <v>1818</v>
      </c>
      <c r="Z15" s="13">
        <v>1785</v>
      </c>
      <c r="AA15" s="13">
        <v>1828</v>
      </c>
      <c r="AB15" s="13">
        <v>1811</v>
      </c>
      <c r="AC15" s="13">
        <v>1825</v>
      </c>
      <c r="AD15" s="13">
        <v>1831</v>
      </c>
      <c r="AE15" s="13">
        <v>1799</v>
      </c>
      <c r="AF15" s="13">
        <v>1757</v>
      </c>
      <c r="AG15" s="13">
        <v>1698</v>
      </c>
      <c r="AH15" s="13">
        <v>1694</v>
      </c>
      <c r="AI15" s="13">
        <v>1671</v>
      </c>
      <c r="AJ15" s="13">
        <v>1660</v>
      </c>
      <c r="AK15" s="13">
        <v>1660</v>
      </c>
      <c r="AL15" s="13">
        <v>1646</v>
      </c>
      <c r="AM15" s="13">
        <v>1648</v>
      </c>
      <c r="AN15" s="13">
        <v>1614</v>
      </c>
      <c r="AO15" s="13">
        <v>1626</v>
      </c>
      <c r="AP15" s="13">
        <v>1587</v>
      </c>
      <c r="AQ15" s="13">
        <v>1548</v>
      </c>
      <c r="AR15" s="13">
        <v>1500</v>
      </c>
      <c r="AS15" s="13">
        <v>1491</v>
      </c>
      <c r="AT15" s="13">
        <v>1444</v>
      </c>
      <c r="AU15" s="13">
        <v>1431</v>
      </c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>
        <v>1788</v>
      </c>
      <c r="BW15" s="13">
        <v>1788</v>
      </c>
      <c r="BX15" s="29">
        <v>1780</v>
      </c>
      <c r="BY15" s="13">
        <v>1814</v>
      </c>
      <c r="BZ15" s="13">
        <v>1794</v>
      </c>
      <c r="CA15" s="29">
        <v>1780</v>
      </c>
      <c r="CB15" s="13">
        <v>1772</v>
      </c>
      <c r="CC15" s="13">
        <v>1798</v>
      </c>
      <c r="CD15" s="13">
        <v>1806</v>
      </c>
      <c r="CE15" s="13">
        <v>1801</v>
      </c>
      <c r="CF15" s="13">
        <f t="shared" si="0"/>
        <v>837.99650000000008</v>
      </c>
      <c r="CG15" s="13">
        <f t="shared" si="1"/>
        <v>837.99650000000008</v>
      </c>
      <c r="CH15" s="13">
        <f t="shared" ref="CH15:CH18" si="5">(CG15-CF15)</f>
        <v>0</v>
      </c>
      <c r="CK15" s="15"/>
    </row>
    <row r="16" spans="1:89" ht="45" customHeight="1" thickBot="1" x14ac:dyDescent="0.3">
      <c r="A16" s="1">
        <v>397018</v>
      </c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למכור ברווח</v>
      </c>
      <c r="E16" s="5" t="s">
        <v>117</v>
      </c>
      <c r="F16" s="4">
        <v>46076</v>
      </c>
      <c r="G16" s="27">
        <v>50</v>
      </c>
      <c r="H16" s="13">
        <v>967</v>
      </c>
      <c r="I16" s="13">
        <v>874</v>
      </c>
      <c r="J16" s="13">
        <v>960</v>
      </c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29"/>
      <c r="BY16" s="13"/>
      <c r="BZ16" s="13"/>
      <c r="CA16" s="29"/>
      <c r="CB16" s="13"/>
      <c r="CC16" s="13"/>
      <c r="CD16" s="13"/>
      <c r="CE16" s="13"/>
      <c r="CF16" s="13">
        <f t="shared" si="0"/>
        <v>483.5</v>
      </c>
      <c r="CG16" s="13">
        <f t="shared" si="1"/>
        <v>483.5</v>
      </c>
      <c r="CH16" s="13">
        <f t="shared" si="5"/>
        <v>0</v>
      </c>
      <c r="CK16" s="15"/>
    </row>
    <row r="17" spans="1:89" ht="45" customHeight="1" thickBot="1" x14ac:dyDescent="0.3">
      <c r="A17" s="1">
        <v>5135173</v>
      </c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למכור ברווח</v>
      </c>
      <c r="E17" s="5" t="s">
        <v>118</v>
      </c>
      <c r="F17" s="4">
        <v>46076</v>
      </c>
      <c r="G17" s="27">
        <v>50</v>
      </c>
      <c r="H17" s="13">
        <v>451.92</v>
      </c>
      <c r="I17" s="13">
        <v>450.58</v>
      </c>
      <c r="J17" s="13">
        <v>448.93</v>
      </c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29"/>
      <c r="BY17" s="13"/>
      <c r="BZ17" s="13"/>
      <c r="CA17" s="29"/>
      <c r="CB17" s="13"/>
      <c r="CC17" s="13"/>
      <c r="CD17" s="13"/>
      <c r="CE17" s="13"/>
      <c r="CF17" s="13">
        <f t="shared" si="0"/>
        <v>225.96</v>
      </c>
      <c r="CG17" s="13">
        <f t="shared" si="1"/>
        <v>225.96</v>
      </c>
      <c r="CH17" s="13">
        <f t="shared" ref="CH17" si="6">(CG17-CF17)</f>
        <v>0</v>
      </c>
      <c r="CK17" s="15"/>
    </row>
    <row r="18" spans="1:89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למכור ברווח</v>
      </c>
      <c r="E18" s="5" t="s">
        <v>119</v>
      </c>
      <c r="F18" s="4">
        <v>46077</v>
      </c>
      <c r="G18" s="27">
        <v>400</v>
      </c>
      <c r="H18" s="13">
        <v>48.7</v>
      </c>
      <c r="I18" s="13">
        <v>47.2</v>
      </c>
      <c r="J18" s="13">
        <v>49.2</v>
      </c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>
        <v>1788</v>
      </c>
      <c r="BW18" s="13">
        <v>1788</v>
      </c>
      <c r="BX18" s="29">
        <v>1780</v>
      </c>
      <c r="BY18" s="13">
        <v>1814</v>
      </c>
      <c r="BZ18" s="13">
        <v>1794</v>
      </c>
      <c r="CA18" s="29">
        <v>1780</v>
      </c>
      <c r="CB18" s="13">
        <v>1772</v>
      </c>
      <c r="CC18" s="13">
        <v>1798</v>
      </c>
      <c r="CD18" s="13">
        <v>1806</v>
      </c>
      <c r="CE18" s="13">
        <v>1801</v>
      </c>
      <c r="CF18" s="13">
        <f t="shared" si="0"/>
        <v>194.8</v>
      </c>
      <c r="CG18" s="13">
        <f t="shared" si="1"/>
        <v>194.8</v>
      </c>
      <c r="CH18" s="13">
        <f t="shared" si="5"/>
        <v>0</v>
      </c>
      <c r="CK18" s="15"/>
    </row>
    <row r="19" spans="1:89" ht="45" customHeight="1" thickBot="1" x14ac:dyDescent="0.3">
      <c r="A19" s="1"/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/>
      <c r="F19" s="4"/>
      <c r="G19" s="27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>
        <v>6461</v>
      </c>
      <c r="AR19" s="13">
        <v>6503</v>
      </c>
      <c r="AS19" s="13">
        <v>6535</v>
      </c>
      <c r="AT19" s="13">
        <v>6532</v>
      </c>
      <c r="AU19" s="13">
        <v>6515</v>
      </c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29"/>
      <c r="BY19" s="13"/>
      <c r="BZ19" s="13"/>
      <c r="CA19" s="29"/>
      <c r="CB19" s="13"/>
      <c r="CC19" s="13"/>
      <c r="CD19" s="13"/>
      <c r="CE19" s="13"/>
      <c r="CF19" s="13">
        <f t="shared" si="0"/>
        <v>0</v>
      </c>
      <c r="CG19" s="13">
        <f t="shared" si="1"/>
        <v>0</v>
      </c>
      <c r="CH19" s="13"/>
      <c r="CK19" s="15"/>
    </row>
    <row r="20" spans="1:89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29"/>
      <c r="BY20" s="13"/>
      <c r="BZ20" s="13"/>
      <c r="CA20" s="29"/>
      <c r="CB20" s="13"/>
      <c r="CC20" s="13"/>
      <c r="CD20" s="13"/>
      <c r="CE20" s="13"/>
      <c r="CF20" s="13">
        <f t="shared" si="0"/>
        <v>0</v>
      </c>
      <c r="CG20" s="13">
        <f t="shared" si="1"/>
        <v>0</v>
      </c>
      <c r="CH20" s="13"/>
      <c r="CK20" s="15"/>
    </row>
    <row r="21" spans="1:89" ht="15.75" thickBot="1" x14ac:dyDescent="0.3"/>
    <row r="22" spans="1:89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29"/>
      <c r="BY22" s="13"/>
      <c r="BZ22" s="13"/>
      <c r="CA22" s="29"/>
      <c r="CB22" s="13"/>
      <c r="CC22" s="13"/>
      <c r="CD22" s="13"/>
      <c r="CE22" s="13"/>
      <c r="CF22" s="13"/>
      <c r="CG22" s="13"/>
      <c r="CH22" s="13"/>
      <c r="CK22" s="15"/>
    </row>
    <row r="23" spans="1:89" ht="54.95" customHeight="1" thickBot="1" x14ac:dyDescent="0.3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15483.14</v>
      </c>
      <c r="J23" s="23">
        <f>(J2*G2+G3*J3+J4*G4+G5*J5+G6*J6+G7*J7+G8*J8+G9*J9+G10*J10+G11*J11+G12*J12+J13*G13+G14*J14+J15*G15+G16*J16+G17*J17+J18*G18+G19*J19+G20*J20)/100</f>
        <v>16027.125</v>
      </c>
      <c r="K23" s="23">
        <f>(K2*G2+G3*K3+K4*G4+G5*K5+G6*K6+G7*K7+G8*K8+G9*K9+G10*K10+G11*K11+G12*K12+K13*G13+G14*K14+K15*G15+G16*K16+G17*K17+K18*G18+G19*K19+G20*K20)/100</f>
        <v>15008.259599999999</v>
      </c>
      <c r="L23" s="23">
        <f>(L2*G2+G3*L3+L4*G4+G5*L5+G6*L6+G7*L7+G8*L8+G9*L9+G10*L10+G11*L11+G12*L12+L13*G13+G14*L14+L15*G15+G16*L16+G17*L17+L18*G18+G19*L19+G20*L20)/100</f>
        <v>15145.8896</v>
      </c>
      <c r="M23" s="23">
        <f>(M2*G2+G3*M3+M4*G4+G5*M5+G6*M6+G7*M7+G8*M8+G9*M9+G10*M10+G11*M11+G12*M12+M13*G13+G14*M14+M15*G15+G16*M16+G17*M17+M18*G18+G19*M19+G20*M20)/100</f>
        <v>15210.999599999999</v>
      </c>
      <c r="N23" s="23">
        <f>(N2*G2+G3*N3+N4*G4+G5*N5+G6*N6+G7*N7+G8*N8+G9*N9+G10*N10+G11*N11+G12*N12+N13*G13+G14*N14+N15*G15+G16*N16+G17*N17+N18*G18+G19*N19+G20*N20)/100</f>
        <v>15124.57</v>
      </c>
      <c r="O23" s="23">
        <f>(O2*G2+G3*O3+O4*G4+G5*O5+G6*O6+G7*O7+G8*O8+G9*O9+G10*O10+G11*O11+G12*O12+O13*G13+G14*O14+O15*G15+G16*O16+G17*O17+O18*G18+G19*O19+G20*O20)/100</f>
        <v>15017.0296</v>
      </c>
      <c r="P23" s="23">
        <f>(P2*G2+G3*P3+P4*G4+G5*P5+G6*P6+G7*P7+G8*P8+G9*P9+G10*P10+G11*P11+G12*P12+P13*G13+G14*P14+P15*G15+G16*P16+G17*P17+P18*G18+G19*P19+G20*P20)/100</f>
        <v>14840.14</v>
      </c>
      <c r="Q23" s="23">
        <f>(H2*Q2+H3*Q3+H4*Q4+H5*Q5+H6*Q6+H7*Q7+H8*Q8+Q9*H9+H10*Q10+Q11*H11+H12*Q12+H13*Q13+H14*Q14+Q15*H15+Q16*H16+H17*Q17+H18*Q18+H19*Q19+H20*Q20)/100</f>
        <v>17436227.232262</v>
      </c>
      <c r="R23" s="23">
        <f>(R2*G2+G3*R3+R4*G4+G5*R5+G6*R6+G7*R7+G8*R8+G9*R9+G10*R10+G11*R11+G12*R12+R13*G13+G14*R14+R15*G15+G16*R16+G17*R17+R18*G18+G19*R19+G20*R20)/100</f>
        <v>14703.17</v>
      </c>
      <c r="S23" s="23">
        <f>(S2*G2+G3*S3+S4*G4+G5*S5+G6*S6+G7*S7+G8*S8+G9*S9+G10*S10+G11*S11+G12*S12+S13*G13+G14*S14+S15*G15+G16*S16+G17*S17+S18*G18+G19*S19+G20*S20)/100</f>
        <v>14738.179599999999</v>
      </c>
      <c r="T23" s="23">
        <f>(T2*G2+G3*T3+T4*G4+G5*T5+G6*T6+G7*T7+G8*T8+G9*T9+G10*T10+G11*T11+G12*T12+T13*G13+G14*T14+T15*G15+G16*T16+G17*T17+T18*G18+G19*T19+G20*T20)/100</f>
        <v>14660.32</v>
      </c>
      <c r="U23" s="23">
        <f>(U2*G2+G3*U3+U4*G4+G5*U5+G6*U6+G7*U7+G8*U8+G9*U9+G10*U10+G11*U11+G12*U12+U13*G13+G14*U14+U15*G15+G16*U16+G17*U17+U18*G18+G19*U19+G20*U20)/100</f>
        <v>13387.999599999999</v>
      </c>
      <c r="V23" s="23">
        <f>(V2*G2+G3*V3+V4*G4+G5*V5+G6*V6+G7*V7+G8*V8+G9*V9+G10*V10+G11*V11+G12*V12+V13*G13+G14*V14+V15*G15+G16*V16+G17*V17+V18*G18+G19*V19+G20*V20)/100</f>
        <v>13264.1896</v>
      </c>
      <c r="W23" s="23">
        <f>(W2*G2+G3*W3+W4*G4+G5*W5+G6*W6+G7*W7+G8*W8+G9*W9+G10*W10+G11*W11+G12*W12+W13*G13+G14*W14+W15*G15+G16*W16+G17*W17+W18*G18+G19*W19+G20*W20)/100</f>
        <v>13685.96</v>
      </c>
      <c r="X23" s="23">
        <f>(X2*G2+G3*X3+X4*G4+G5*X5+G6*X6+G7*X7+G8*X8+G9*X9+G10*X10+G11*X11+G12*X12+X13*G13+G14*X14+X15*G15+G16*X16+G17*X17+X18*G18+G19*X19+G20*X20)/100</f>
        <v>13846.2196</v>
      </c>
      <c r="Y23" s="23">
        <f>(Y2*G2+G3*Y3+Y4*G4+G5*Y5+G6*Y6+G7*Y7+G8*Y8+G9*Y9+G10*Y10+G11*Y11+G12*Y12+Y13*G13+G14*Y14+Y15*G15+G16*Y16+G17*Y17+Y18*G18+G19*Y19+G20*Y20)/100</f>
        <v>13046.23</v>
      </c>
      <c r="Z23" s="23">
        <f>(Z2*G2+G3*Z3+Z4*G4+G5*Z5+G6*Z6+G7*Z7+G8*Z8+G9*Z9+G10*Z10+G11*Z11+G12*Z12+Z13*G13+G14*Z14+Z15*G15+G16*Z16+G17*Z17+Z18*G18+G19*Z19)/100</f>
        <v>12980.24</v>
      </c>
      <c r="AA23" s="23">
        <f>(AA2*G2+G3*AA3+AA4*G4+G5*AA5+G6*AA6+G7*AA7+G8*AA8+G9*AA9+G10*AA10+G11*AA11+G12*AA12+AA13*G13+G14*AA14+AA15*G15+G16*AA16+G17*AA17+AA18*G18+G19*AA19)/100</f>
        <v>13597.1896</v>
      </c>
      <c r="AB23" s="23">
        <f>(AB2*G2+G3*AB3+AB4*G4+G5*AB5+G6*AB6+G7*AB7+G8*AB8+G9*AB9+G10*AB10+G11*AB11+G12*AB12+AB13*G13+G14*AB14+AB15*G15+G16*AB16+G17*AB17+AB18*G18+G19*AB19)/100</f>
        <v>13359.8796</v>
      </c>
      <c r="AC23" s="23">
        <f>(AC2*G2+G3*AC3+AC4*G4+G5*AC5+G6*AC6+G7*AC7+G8*AC8+G9*AC9+G10*AC10+G11*AC11+G12*AC12+AC13*G13+G14*AC14+AC15*G15+G16*AC16+G17*AC17+AC18*G18+G19*AC19)/100</f>
        <v>13359.71</v>
      </c>
      <c r="AD23" s="23">
        <f>(AD2*G2+G3*AD3+AD4*G4+G5*AD5+G6*AD6+G7*AD7+G8*AD8+G9*AD9+G10*AD10+G11*AD11+G12*AD12+AD13*G13+G14*AD14+AD15*G15+G16*AD16+G17*AD17+AD18*G18+G19*AD19)/100</f>
        <v>13480.1096</v>
      </c>
      <c r="AE23" s="23">
        <f>(AE2*G2+G3*AE3+AE4*G4+G5*AE5+G6*AE6+G7*AE7+G8*AE8+G9*AE9+G10*AE10+G11*AE11+G12*AE12+AE13*G13+G14*AE14+AE15*G15+G16*AE16+G17*AE17+AE18*G18+G19*AE19)/100</f>
        <v>13129.73</v>
      </c>
      <c r="AF23" s="23">
        <f>(AF2*G2+G3*AF3+AF4*G4+G5*AF5+G6*AF6+G7*AF7+G8*AF8+G9*AF9+G10*AF10+G11*AF11+G12*AF12+AF13*G13+G14*AF14+AF15*G15+G16*AF16+G17*AF17+AF18*G18+G19*AF19)/100</f>
        <v>12858.98</v>
      </c>
      <c r="AG23" s="23">
        <f>(AG2*G2+G3*AG3+AG4*G4+G5*AG5+G6*AG6+G7*AG7+G8*AG8+G9*AG9+G10*AG10+G11*AG11+G12*AG12+AG13*G13+G14*AG14+AG15*G15+G16*AG16+G17*AG17+AG18*G18+G19*AG19)/100</f>
        <v>12652.83</v>
      </c>
      <c r="AH23" s="23">
        <f>(AH2*G2+G3*AH3+AH4*G4+G5*AH5+G6*AH6+G7*AH7+G8*AH8+G9*AH9+G10*AH10+G11*AH11+G12*AH12+AH13*G13+G14*AH14+AH15*G15+G16*AH16+G17*AH17+AH18*G18+G19*AH19)/100</f>
        <v>12611.8596</v>
      </c>
      <c r="AI23" s="23">
        <f>(AI3*G3+G4*AI4+AI5*G5+G6*AI6+G7*AI7+G8*AI8+G9*AI9+G10*AI10+G11*AI11+G12*AI12+G14*AI14+AI15*G15+G16*AI16+AI17*G17+G18*AI18+G19*AI19)/100</f>
        <v>11391.21</v>
      </c>
      <c r="AJ23" s="23">
        <f>(AJ3*G3+G4*AJ4+AJ5*G5+G6*AJ6+G7*AJ7+G8*AJ8+G9*AJ9+G10*AJ10+G11*AJ11+G12*AJ12+G14*AJ14+AJ15*G15+G16*AJ16+AJ17*G17+G18*AJ18+G19*AJ19)/100</f>
        <v>11151.919599999999</v>
      </c>
      <c r="AK23" s="23">
        <f>(AK3*G3+G4*AK4+AK5*G5+G6*AK6+G7*AK7+G8*AK8+G9*AK9+G10*AK10+G11*AK11+G12*AK12+G14*AK14+AK15*G15+G16*AK16+AK17*G17+G18*AK18+G19*AK19)/100</f>
        <v>11164.0196</v>
      </c>
      <c r="AL23" s="23">
        <f>(AL3*G3+G4*AL4+AL5*G5+G6*AL6+G7*AL7+G8*AL8+G9*AL9+G10*AL10+G11*AL11+G12*AL12+G14*AL14+AL15*G15+G16*AL16+AL17*G17+G18*AL18+G19*AL19)/100</f>
        <v>11120.409599999999</v>
      </c>
      <c r="AM23" s="23">
        <f>(AM3*G3+G4*AM4+AM5*G5+G6*AM6+G7*AM7+G8*AM8+G9*AM9+G10*AM10+G11*AM11+G12*AM12+G14*AM14+AM15*G15+G16*AM16+AM17*G17+G18*AM18+G19*AM19)/100</f>
        <v>10801.44</v>
      </c>
      <c r="AN23" s="23">
        <f>(AN3*G3+G4*AN4+AN5*G5+G6*AN6+G7*AN7+G8*AN8+G9*AN9+G10*AN10+G11*AN11+G12*AN12+G14*AN14+AN15*G15+G16*AN16+AN17*G17+G18*AN18+G19*AN19)/100</f>
        <v>10768.149599999999</v>
      </c>
      <c r="AO23" s="23">
        <f>(AO3*G3+G4*AO4+AO5*G5+G6*AO6+G7*AO7+G8*AO8+G9*AO9+G10*AO10+G11*AO11+G12*AO12+G14*AO14+AO15*G15+G16*AO16+AO17*G17+G18*AO18+G19*AO19)/100</f>
        <v>9680.6396000000004</v>
      </c>
      <c r="AP23" s="23">
        <f>(AP5*G5+G6*AP6+AP7*G7+G8*AP8+G9*AP9+G10*AP10+G11*AP11+G12*AP12+G14*AP14+G20*AP20+G15*AP15+AP16*G16+G17*AP17+AP18*G18+G19*AP19)/100</f>
        <v>8154.0495999999994</v>
      </c>
      <c r="AQ23" s="23" t="e">
        <f>(AQ5*G5+G7*AQ7+AQ8*G8+G9*AQ9+#REF!*#REF!+G10*AQ10+G11*AQ11+G12*AQ12+G14*AQ14+G19*AQ19+G20*AQ20+AQ6*G6+G15*AQ15+#REF!*#REF!+G16*AQ16+G17*AQ17+AQ18*G18+#REF!*#REF!+#REF!*#REF!+#REF!*#REF!+#REF!*#REF!+#REF!*#REF!+#REF!*#REF!+G3*AQ3+#REF!*#REF!)/100</f>
        <v>#REF!</v>
      </c>
      <c r="AR23" s="23" t="e">
        <f>(AR5*G5+G7*AR7+AR8*G8+G9*AR9+#REF!*#REF!+G10*AR10+G11*AR11+G12*AR12+G14*AR14+G19*AR19+G20*AR20+AR6*G6+G15*AR15+#REF!*#REF!+G16*AR16+G17*AR17+AR18*G18+#REF!*#REF!+#REF!*#REF!+#REF!*#REF!+#REF!*#REF!+#REF!*#REF!+#REF!*#REF!+G3*AR3+#REF!*#REF!)/100</f>
        <v>#REF!</v>
      </c>
      <c r="AS23" s="23" t="e">
        <f>(AS5*G5+G7*AS7+AS8*G8+G9*AS9+#REF!*#REF!+G10*AS10+G11*AS11+G12*AS12+G14*AS14+G19*AS19+G20*AS20+AS6*G6+G15*AS15+#REF!*#REF!+G16*AS16+G17*AS17+AS18*G18+#REF!*#REF!+#REF!*#REF!+#REF!*#REF!+#REF!*#REF!+#REF!*#REF!+#REF!*#REF!+G3*AS3+#REF!*#REF!)/100</f>
        <v>#REF!</v>
      </c>
      <c r="AT23" s="23" t="e">
        <f>(AT5*G5+G7*AT7+AT8*G8+G9*AT9+#REF!*#REF!+G10*AT10+G11*AT11+G12*AT12+G14*AT14+G19*AT19+G20*AT20+AT6*G6+G15*AT15+#REF!*#REF!+G16*AT16+G18*AT18+#REF!*#REF!+#REF!*#REF!+#REF!*#REF!+#REF!*#REF!+#REF!*#REF!+#REF!*#REF!+G3*AT3+#REF!*#REF!+G4*AT4)/100</f>
        <v>#REF!</v>
      </c>
      <c r="AU23" s="23" t="e">
        <f>(#REF!*#REF!+#REF!*#REF!+AU3*G3+#REF!*#REF!+G4*AU4+G5*AU5+G7*AU7+G8*AU8+G9*AU9+#REF!*#REF!+G10*AU10+AU11*G11+G12*AU12+AU14*G14+#REF!*#REF!+#REF!*#REF!+#REF!*#REF!+#REF!*#REF!+G20*AU20+AU6*G6+#REF!*#REF!+G16*AU16+G18*AU18+G19*AU19)/100</f>
        <v>#REF!</v>
      </c>
      <c r="AV23" s="23" t="e">
        <f>(#REF!*#REF!+#REF!*#REF!+AV3*G3+#REF!*#REF!+G4*AV4+G5*AV5+G7*AV7+G8*AV8+G9*AV9+#REF!*#REF!+G10*AV10+AV11*G11+G12*AV12+AV14*G14+#REF!*#REF!+#REF!*#REF!+#REF!*#REF!+#REF!*#REF!+G20*AV20+AV6*G6+#REF!*#REF!+G16*AV16+G18*AV18+G19*AV19)/100</f>
        <v>#REF!</v>
      </c>
      <c r="AW23" s="23" t="e">
        <f>(#REF!*#REF!+#REF!*#REF!+AW3*G3+#REF!*#REF!+G4*AW4+G5*AW5+AW7*G7+AW8*G8+AW9*G9+#REF!*#REF!+G10*AW10+AW11*G11+G12*AW12+AW14*G14+#REF!*#REF!+#REF!*#REF!+#REF!*#REF!+#REF!*#REF!+G20*AW20+G6*AW6+#REF!*#REF!+G16*AW16+G18*AW18)/100</f>
        <v>#REF!</v>
      </c>
      <c r="AX23" s="23" t="e">
        <f>(#REF!*#REF!+#REF!*#REF!+AX3*G3+#REF!*#REF!+G4*AX4+G5*AX5+AX7*G7+AX8*G8+AX9*G9+#REF!*#REF!+G10*AX10+AX11*G11+G12*AX12+AX14*G14+#REF!*#REF!+#REF!*#REF!+#REF!*#REF!+#REF!*#REF!+G20*AX20+G6*AX6+#REF!*#REF!+G16*AX16+G18*AX18)/100</f>
        <v>#REF!</v>
      </c>
      <c r="AY23" s="23" t="e">
        <f>(#REF!*#REF!+#REF!*#REF!+AY3*G3+#REF!*#REF!+G4*AY4+G8*AY8+AY9*G9+#REF!*#REF!+AY10*G10+G11*AY11+G14*AY14+#REF!*#REF!+#REF!*#REF!+#REF!*#REF!+#REF!*#REF!+G6*AY6+#REF!*#REF!+G16*AY16+G18*AY18+G7*AY7+G5*AY5+G12*AY12+G20*AY20)/100</f>
        <v>#REF!</v>
      </c>
      <c r="AZ23" s="23" t="e">
        <f>(#REF!*#REF!+#REF!*#REF!+AZ3*G3+#REF!*#REF!+G4*AZ4+G8*AZ8+AZ9*G9+#REF!*#REF!+AZ10*G10+G11*AZ11+G14*AZ14+#REF!*#REF!+#REF!*#REF!+#REF!*#REF!+#REF!*#REF!+G6*AZ6+#REF!*#REF!+G16*AZ16+G18*AZ18)/100</f>
        <v>#REF!</v>
      </c>
      <c r="BA23" s="23" t="e">
        <f>(#REF!*#REF!+#REF!*#REF!+BA3*G3+#REF!*#REF!+G4*BA4+G8*BA8+G9*BA9+#REF!*#REF!+G10*BA10+BA11*G11+BA14*G14+#REF!*#REF!+#REF!*#REF!+#REF!*#REF!+#REF!*#REF!+BA6*G6+#REF!*#REF!+G16*BA16+G18*BA18+G19*BA19)/100</f>
        <v>#REF!</v>
      </c>
      <c r="BB23" s="23" t="e">
        <f>(#REF!*#REF!+#REF!*#REF!+BB3*G3+#REF!*#REF!+G4*BB4+G8*BB8+BB9*G9+#REF!*#REF!+BB10*G10+G11*BB11+G14*BB14+#REF!*#REF!+#REF!*#REF!+#REF!*#REF!+#REF!*#REF!+G6*BB6+#REF!*#REF!+G16*BB16+G18*BB18)/100</f>
        <v>#REF!</v>
      </c>
      <c r="BC23" s="23" t="e">
        <f>(#REF!*#REF!+#REF!*#REF!+BC3*G3+#REF!*#REF!+G4*BC4+G8*BC8+BC9*G9+#REF!*#REF!+BC10*G10+G11*BC11+G14*BC14+#REF!*#REF!+#REF!*#REF!+#REF!*#REF!+#REF!*#REF!+G6*BC6+#REF!*#REF!+G16*BC16+G18*BC18)/100</f>
        <v>#REF!</v>
      </c>
      <c r="BD23" s="23" t="e">
        <f>(#REF!*#REF!+#REF!*#REF!+BD3*G3+#REF!*#REF!+G4*BD4+G8*BD8+BD9*G9+BD10*G10+BD11*G11+G14*BD14+#REF!*#REF!+#REF!*#REF!+#REF!*#REF!+#REF!*#REF!+G6*BD6+#REF!*#REF!+G16*BD16+G18*BD18+G19*BD19)/100</f>
        <v>#REF!</v>
      </c>
      <c r="BE23" s="23" t="e">
        <f>(#REF!*#REF!+#REF!*#REF!+BE3*G3+#REF!*#REF!+G4*BE4+G8*BE8+BE9*G9+BE10*G10+BE11*G11+G14*BE14+#REF!*#REF!+#REF!*#REF!+#REF!*#REF!+#REF!*#REF!+G6*BE6+#REF!*#REF!+G16*BE16+G18*BE18+G19*BE19)/100</f>
        <v>#REF!</v>
      </c>
      <c r="BF23" s="23" t="e">
        <f>(#REF!*#REF!+#REF!*#REF!+BF3*G3+#REF!*#REF!+G4*BF4+G8*BF8+BF9*G9+BF10*G10+BF11*G11+G14*BF14+#REF!*#REF!+#REF!*#REF!+#REF!*#REF!+#REF!*#REF!+G6*BF6+#REF!*#REF!+G16*BF16+G18*BF18+G19*BF19)/100</f>
        <v>#REF!</v>
      </c>
      <c r="BG23" s="23" t="e">
        <f>(#REF!*#REF!+#REF!*#REF!+BG3*G3+#REF!*#REF!+G4*BG4+G8*BG8+BG9*G9+BG10*G10+BG11*G11+G14*BG14+#REF!*#REF!+#REF!*#REF!+#REF!*#REF!+#REF!*#REF!+G6*BG6+#REF!*#REF!+G16*BG16+G18*BG18+G19*BG19)/100</f>
        <v>#REF!</v>
      </c>
      <c r="BH23" s="23" t="e">
        <f>(#REF!*#REF!+#REF!*#REF!+BH3*G3+#REF!*#REF!+G4*BH4+G8*BH8+BH9*G9+BH10*G10+BH11*G11+G14*BH14+#REF!*#REF!+#REF!*#REF!+#REF!*#REF!+#REF!*#REF!+G6*BH6+#REF!*#REF!+G16*BH16+G18*BH18+G19*BH19)/100</f>
        <v>#REF!</v>
      </c>
      <c r="BI23" s="23" t="e">
        <f>(#REF!*#REF!+#REF!*#REF!+BI3*G3+#REF!*#REF!+G4*BI4+G8*BI8+BI9*G9+BI10*G10+BI11*G11+G14*BI14+#REF!*#REF!+#REF!*#REF!+#REF!*#REF!+#REF!*#REF!+G6*BI6+#REF!*#REF!+G16*BI16+G18*BI18)/100</f>
        <v>#REF!</v>
      </c>
      <c r="BJ23" s="23" t="e">
        <f>(#REF!*#REF!+#REF!*#REF!+BJ3*G3+#REF!*#REF!+G4*BJ4+G8*BJ8+BJ10*G10+BJ11*G11+G14*BJ14+#REF!*#REF!+#REF!*#REF!+#REF!*#REF!+#REF!*#REF!+G6*BJ6+#REF!*#REF!+G16*BJ16+G18*BJ18)/100</f>
        <v>#REF!</v>
      </c>
      <c r="BK23" s="23" t="e">
        <f>(#REF!*#REF!+#REF!*#REF!+BK3*G3+#REF!*#REF!+G4*BK4+G8*BK8+G10*BK10+BK11*G11+BK14*G14+#REF!*#REF!+#REF!*#REF!+#REF!*#REF!+#REF!*#REF!+BK6*G6+#REF!*#REF!+G16*BK16+G18*BK18+G19*BK19)/100</f>
        <v>#REF!</v>
      </c>
      <c r="BL23" s="23" t="e">
        <f>(#REF!*#REF!+#REF!*#REF!+BL3*G3+#REF!*#REF!+G4*BL4+G10*BL10+BL11*G11+BL14*G14+#REF!*#REF!+#REF!*#REF!+#REF!*#REF!+#REF!*#REF!+BL6*G6+#REF!*#REF!+G16*BL16+G18*BL18+G19*BL19)/100</f>
        <v>#REF!</v>
      </c>
      <c r="BM23" s="23" t="e">
        <f>(#REF!*#REF!+#REF!*#REF!+BM3*G3+#REF!*#REF!+G4*BM4+G10*BM10+BM11*G11+BM14*G14+#REF!*#REF!+#REF!*#REF!+#REF!*#REF!+#REF!*#REF!+BM6*G6+#REF!*#REF!+G16*BM16+G18*BM18+G19*BM19)/100</f>
        <v>#REF!</v>
      </c>
      <c r="BN23" s="23" t="e">
        <f>(#REF!*#REF!+#REF!*#REF!+BN3*G3+#REF!*#REF!+G4*BN4+G10*BN10+BN11*G11+BN14*G14+#REF!*#REF!+#REF!*#REF!+#REF!*#REF!+#REF!*#REF!+BN6*G6+#REF!*#REF!+G16*BN16+G18*BN18+G19*BN19)/100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(#REF!*#REF!+#REF!*#REF!+BQ3*G3+#REF!*#REF!+G4*BQ4+G10*BQ10+BQ11*G11+BQ14*G14+#REF!*#REF!+#REF!*#REF!+#REF!*#REF!+#REF!*#REF!+BQ6*G6+G16*BQ16+G18*BQ18+G19*BQ19)/100</f>
        <v>#REF!</v>
      </c>
      <c r="BR23" s="23" t="e">
        <f>(#REF!*#REF!+#REF!*#REF!+BR3*G3+#REF!*#REF!+G4*BR4+G10*BR10+BR11*G11+BR14*G14+#REF!*#REF!+#REF!*#REF!+#REF!*#REF!+#REF!*#REF!+BR6*G6+G16*BR16+G18*BR18+G19*BR19)/100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(#REF!*#REF!+#REF!*#REF!+BU3*G3+#REF!*#REF!+G4*BU4+G10*BU10+BU11*G11+BU14*G14+#REF!*#REF!+#REF!*#REF!+#REF!*#REF!+#REF!*#REF!+BU6*G6+G16*BU16+G18*BU18+G19*BU19)/100</f>
        <v>#REF!</v>
      </c>
      <c r="BV23" s="23" t="e">
        <f>(#REF!*#REF!+#REF!*#REF!+BV3*G3+#REF!*#REF!+G4*BV4+G10*BV10+G11*BV11+G14*BV14+#REF!*#REF!+#REF!*#REF!+#REF!*#REF!+#REF!*#REF!+G6*BV6+BV16*G16+G18*BV18+G19*BV19)/100</f>
        <v>#REF!</v>
      </c>
      <c r="BW23" s="23" t="e">
        <f>(#REF!*#REF!+#REF!*#REF!+BW3*G3+#REF!*#REF!+G4*BW4+G10*BW10+G14*BW14+#REF!*#REF!+#REF!*#REF!+#REF!*#REF!+#REF!*#REF!+G6*BW6+BW16*G16+G18*BW18+G19*BW19)/100</f>
        <v>#REF!</v>
      </c>
      <c r="BX23" s="23" t="e">
        <f>(#REF!*#REF!+BX3*G3+G4*BX4+G14*BX14+#REF!*#REF!+#REF!*#REF!+#REF!*#REF!+#REF!*#REF!+G6*BX6+BX16*G16+G18*BX18+G19*BX19+G22*BX22+#REF!*#REF!+#REF!*#REF!)/100</f>
        <v>#REF!</v>
      </c>
      <c r="BY23" s="23" t="e">
        <f>(#REF!*#REF!+BY3*G3+G4*BY4+G14*BY14+#REF!*#REF!+#REF!*#REF!+#REF!*#REF!+#REF!*#REF!+G6*BY6+BY16*G16+G18*BY18+G19*BY19+G22*BY22+#REF!*#REF!+#REF!*#REF!)/100</f>
        <v>#REF!</v>
      </c>
      <c r="BZ23" s="23" t="e">
        <f>(#REF!*#REF!+BZ3*G3+G4*BZ4+G14*BZ14+#REF!*#REF!+#REF!*#REF!+#REF!*#REF!+#REF!*#REF!+G6*BZ6+BZ16*G16+G18*BZ18+G19*BZ19+G22*BZ22+#REF!*#REF!+#REF!*#REF!)/100</f>
        <v>#REF!</v>
      </c>
      <c r="CA23" s="30" t="e">
        <f>(#REF!*#REF!+CA3*G3+G4*CA4+G14*CA14+#REF!*#REF!+#REF!*#REF!+#REF!*#REF!+#REF!*#REF!+G6*CA6+CA16*G16+G18*CA18+G19*CA19+G22*CA22+#REF!*#REF!+#REF!*#REF!)/100</f>
        <v>#REF!</v>
      </c>
      <c r="CB23" s="23" t="e">
        <f>(#REF!*#REF!+CB3*G3+G4*CB4+G14*CB14+#REF!*#REF!+#REF!*#REF!+#REF!*#REF!+#REF!*#REF!+G6*CB6+CB16*G16+G18*CB18+G19*CB19+G22*CB22+#REF!*#REF!+#REF!*#REF!)/100</f>
        <v>#REF!</v>
      </c>
      <c r="CC23" s="23" t="e">
        <f>(#REF!*#REF!+CC3*G3+G14*CC14+#REF!*#REF!+#REF!*#REF!+#REF!*#REF!+#REF!*#REF!+G6*CC6+CC16*G16+G18*CC18+G19*CC19+G22*CC22+#REF!*#REF!+#REF!*#REF!)/100</f>
        <v>#REF!</v>
      </c>
      <c r="CD23" s="23" t="e">
        <f>(#REF!*#REF!+CD3*G3+G14*CD14+#REF!*#REF!+#REF!*#REF!+#REF!*#REF!+#REF!*#REF!+G6*CD6+CD16*G16+G18*CD18+G19*CD19+G22*CD22+#REF!*#REF!+#REF!*#REF!)/100</f>
        <v>#REF!</v>
      </c>
      <c r="CE23" s="23" t="e">
        <f>(#REF!*#REF!+CE3*G3+G14*CE14+#REF!*#REF!+#REF!*#REF!+#REF!*#REF!+#REF!*#REF!+G6*CE6+CE16*G16+G18*CE18+G19*CE19+G22*CE22+#REF!*#REF!+#REF!*#REF!)/100</f>
        <v>#REF!</v>
      </c>
      <c r="CF23" s="13"/>
      <c r="CG23" s="13"/>
      <c r="CH23" s="13"/>
      <c r="CK23" s="15">
        <f>1348.18-62.17+215.5</f>
        <v>1501.51</v>
      </c>
    </row>
    <row r="24" spans="1:89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23">
        <f>SUM(CF2:CF20)</f>
        <v>13378.032599999997</v>
      </c>
      <c r="CG24" s="23">
        <f>SUM(CG2:CG20)</f>
        <v>13378.032599999997</v>
      </c>
      <c r="CH24" s="24">
        <f>CG24-CF24</f>
        <v>0</v>
      </c>
      <c r="CK24" s="15">
        <f>SUM(CK2:CK20)</f>
        <v>0</v>
      </c>
    </row>
    <row r="25" spans="1:89" x14ac:dyDescent="0.25">
      <c r="CF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701.4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/>
      <c r="F3" s="16">
        <v>110</v>
      </c>
      <c r="G3" s="17"/>
      <c r="I3" s="13">
        <f>'התיק העדכני'!I3</f>
        <v>67.099999999999994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5838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510.2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5637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4030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39760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1024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69.599999999999994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8035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13939.5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224.64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191.64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1901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7"/>
      <c r="I16" s="13">
        <f>'התיק העדכני'!I16</f>
        <v>874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7"/>
      <c r="I17" s="13">
        <f>'התיק העדכני'!I17</f>
        <v>450.58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18"/>
      <c r="I18" s="13">
        <f>'התיק העדכני'!I18</f>
        <v>47.2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701.4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92</v>
      </c>
      <c r="G3" s="7"/>
      <c r="I3" s="13">
        <f>'התיק העדכני'!I3</f>
        <v>67.099999999999994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5838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510.2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5637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4030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39760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1024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69.599999999999994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8035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13939.5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224.64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191.64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1901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7"/>
      <c r="I16" s="13">
        <f>'התיק העדכני'!I16</f>
        <v>874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7"/>
      <c r="I17" s="13">
        <f>'התיק העדכני'!I17</f>
        <v>450.58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8"/>
      <c r="I18" s="13">
        <f>'התיק העדכני'!I18</f>
        <v>47.2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701.4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95</v>
      </c>
      <c r="G3" s="10"/>
      <c r="I3" s="13">
        <f>'התיק העדכני'!I3</f>
        <v>67.099999999999994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5838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510.2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5637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4030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39760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1024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69.599999999999994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8035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13939.5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224.64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191.64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1901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0"/>
      <c r="I16" s="13">
        <f>'התיק העדכני'!I16</f>
        <v>874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0"/>
      <c r="I17" s="13">
        <f>'התיק העדכני'!I17</f>
        <v>450.58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I18" s="13">
        <f>'התיק העדכני'!I18</f>
        <v>47.2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701.4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68</v>
      </c>
      <c r="F3" s="16">
        <v>90</v>
      </c>
      <c r="G3" s="31"/>
      <c r="I3" s="13">
        <f>'התיק העדכני'!I3</f>
        <v>67.099999999999994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5838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510.2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5637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4030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39760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1024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69.599999999999994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8035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13939.5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224.64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191.64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I16" s="13">
        <f>'התיק העדכני'!I15</f>
        <v>1901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31"/>
      <c r="I17" s="13">
        <f>'התיק העדכני'!I16</f>
        <v>874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31"/>
      <c r="I18" s="13">
        <f>'התיק העדכני'!I17</f>
        <v>450.58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העדכני'!I18</f>
        <v>47.2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2026-02-24T15:27:03Z</dcterms:modified>
</cp:coreProperties>
</file>