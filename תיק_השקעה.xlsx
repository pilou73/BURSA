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"/>
    </mc:Choice>
  </mc:AlternateContent>
  <xr:revisionPtr revIDLastSave="0" documentId="13_ncr:1_{F8D1803D-9746-4C08-83A2-CD263161045D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3" i="1" l="1"/>
  <c r="K23" i="1"/>
  <c r="A13" i="3"/>
  <c r="B13" i="3"/>
  <c r="C13" i="3"/>
  <c r="D13" i="3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3"/>
  <c r="I13" i="2"/>
  <c r="I13" i="4"/>
  <c r="I23" i="1"/>
  <c r="BJ13" i="1"/>
  <c r="BO13" i="1"/>
  <c r="BI13" i="1" s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D2" i="1"/>
  <c r="L23" i="1"/>
  <c r="S23" i="1"/>
  <c r="R23" i="1"/>
  <c r="Q23" i="1"/>
  <c r="P23" i="1"/>
  <c r="O23" i="1"/>
  <c r="N23" i="1"/>
  <c r="M23" i="1"/>
  <c r="BO5" i="1"/>
  <c r="BI5" i="1" s="1"/>
  <c r="BO6" i="1"/>
  <c r="BI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3"/>
  <c r="B4" i="3"/>
  <c r="C4" i="3"/>
  <c r="D4" i="3"/>
  <c r="A5" i="3"/>
  <c r="B5" i="3"/>
  <c r="C5" i="3"/>
  <c r="D5" i="3"/>
  <c r="A6" i="3"/>
  <c r="B6" i="3"/>
  <c r="C6" i="3"/>
  <c r="D6" i="3"/>
  <c r="A7" i="3"/>
  <c r="B7" i="3"/>
  <c r="C7" i="3"/>
  <c r="D7" i="3"/>
  <c r="A8" i="3"/>
  <c r="B8" i="3"/>
  <c r="C8" i="3"/>
  <c r="D8" i="3"/>
  <c r="A9" i="3"/>
  <c r="B9" i="3"/>
  <c r="C9" i="3"/>
  <c r="D9" i="3"/>
  <c r="A10" i="3"/>
  <c r="B10" i="3"/>
  <c r="C10" i="3"/>
  <c r="D10" i="3"/>
  <c r="A11" i="3"/>
  <c r="B11" i="3"/>
  <c r="C11" i="3"/>
  <c r="D11" i="3"/>
  <c r="A12" i="3"/>
  <c r="B12" i="3"/>
  <c r="C12" i="3"/>
  <c r="D12" i="3"/>
  <c r="A14" i="3"/>
  <c r="B14" i="3"/>
  <c r="C14" i="3"/>
  <c r="D14" i="3"/>
  <c r="A15" i="3"/>
  <c r="B15" i="3"/>
  <c r="C15" i="3"/>
  <c r="D15" i="3"/>
  <c r="A16" i="3"/>
  <c r="B16" i="3"/>
  <c r="C16" i="3"/>
  <c r="D16" i="3"/>
  <c r="A17" i="3"/>
  <c r="B17" i="3"/>
  <c r="C17" i="3"/>
  <c r="D17" i="3"/>
  <c r="A18" i="3"/>
  <c r="B18" i="3"/>
  <c r="C18" i="3"/>
  <c r="D18" i="3"/>
  <c r="A19" i="3"/>
  <c r="B19" i="3"/>
  <c r="C19" i="3"/>
  <c r="D19" i="3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4" i="3"/>
  <c r="M14" i="3"/>
  <c r="L15" i="3"/>
  <c r="M15" i="3"/>
  <c r="L16" i="3"/>
  <c r="M16" i="3"/>
  <c r="L17" i="3"/>
  <c r="M17" i="3"/>
  <c r="L18" i="3"/>
  <c r="M18" i="3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3"/>
  <c r="I5" i="3"/>
  <c r="I6" i="3"/>
  <c r="I7" i="3"/>
  <c r="I8" i="3"/>
  <c r="I9" i="3"/>
  <c r="I10" i="3"/>
  <c r="I11" i="3"/>
  <c r="I12" i="3"/>
  <c r="I14" i="3"/>
  <c r="I15" i="3"/>
  <c r="I16" i="3"/>
  <c r="I17" i="3"/>
  <c r="I18" i="3"/>
  <c r="I19" i="3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I3" i="3"/>
  <c r="D3" i="5"/>
  <c r="C3" i="5"/>
  <c r="B3" i="5"/>
  <c r="A3" i="5"/>
  <c r="D3" i="4"/>
  <c r="C3" i="4"/>
  <c r="B3" i="4"/>
  <c r="A3" i="4"/>
  <c r="D3" i="3"/>
  <c r="C3" i="3"/>
  <c r="B3" i="3"/>
  <c r="A3" i="3"/>
  <c r="I3" i="2"/>
  <c r="D3" i="2"/>
  <c r="C3" i="2"/>
  <c r="B3" i="2"/>
  <c r="A3" i="2"/>
  <c r="BJ3" i="1"/>
  <c r="BL3" i="1"/>
  <c r="BO3" i="1"/>
  <c r="BI3" i="1" s="1"/>
  <c r="BO12" i="1"/>
  <c r="BI12" i="1" s="1"/>
  <c r="BO14" i="1"/>
  <c r="BI20" i="1"/>
  <c r="BJ7" i="1"/>
  <c r="BJ8" i="1"/>
  <c r="BJ9" i="1"/>
  <c r="BJ10" i="1"/>
  <c r="BJ11" i="1"/>
  <c r="BJ12" i="1"/>
  <c r="BJ14" i="1"/>
  <c r="BJ20" i="1"/>
  <c r="BJ6" i="1"/>
  <c r="BJ15" i="1"/>
  <c r="BJ16" i="1"/>
  <c r="BJ17" i="1"/>
  <c r="BJ18" i="1"/>
  <c r="BJ19" i="1"/>
  <c r="BJ4" i="1"/>
  <c r="BJ5" i="1"/>
  <c r="L20" i="2"/>
  <c r="M20" i="2"/>
  <c r="L21" i="2"/>
  <c r="M21" i="2"/>
  <c r="L22" i="2"/>
  <c r="M22" i="2"/>
  <c r="L23" i="2"/>
  <c r="M23" i="2"/>
  <c r="L24" i="2"/>
  <c r="M24" i="2"/>
  <c r="BO16" i="1"/>
  <c r="T23" i="1"/>
  <c r="BI19" i="1"/>
  <c r="BI7" i="1"/>
  <c r="C1" i="1"/>
  <c r="B1" i="1"/>
  <c r="U23" i="1"/>
  <c r="L25" i="2"/>
  <c r="M25" i="2"/>
  <c r="L26" i="2"/>
  <c r="M26" i="2"/>
  <c r="L27" i="2"/>
  <c r="M27" i="2"/>
  <c r="L28" i="2"/>
  <c r="M28" i="2"/>
  <c r="V23" i="1"/>
  <c r="BO17" i="1"/>
  <c r="BI17" i="1" s="1"/>
  <c r="BL17" i="1"/>
  <c r="W23" i="1"/>
  <c r="BO15" i="1"/>
  <c r="BI15" i="1" s="1"/>
  <c r="BL15" i="1"/>
  <c r="X23" i="1"/>
  <c r="Y23" i="1"/>
  <c r="Z23" i="1"/>
  <c r="AA23" i="1"/>
  <c r="AB23" i="1"/>
  <c r="AC23" i="1"/>
  <c r="AE23" i="1"/>
  <c r="AF23" i="1"/>
  <c r="AD23" i="1"/>
  <c r="AG23" i="1"/>
  <c r="AI23" i="1"/>
  <c r="AJ23" i="1"/>
  <c r="AK23" i="1"/>
  <c r="AL23" i="1"/>
  <c r="BO9" i="1"/>
  <c r="BI9" i="1" s="1"/>
  <c r="AM23" i="1"/>
  <c r="AN23" i="1"/>
  <c r="BO8" i="1"/>
  <c r="BI8" i="1" s="1"/>
  <c r="BL6" i="1"/>
  <c r="AO23" i="1"/>
  <c r="AP23" i="1"/>
  <c r="AQ23" i="1"/>
  <c r="AR23" i="1"/>
  <c r="BO4" i="1"/>
  <c r="BI4" i="1" s="1"/>
  <c r="BO10" i="1"/>
  <c r="BI10" i="1" s="1"/>
  <c r="BO11" i="1"/>
  <c r="BI11" i="1" s="1"/>
  <c r="AS23" i="1"/>
  <c r="AT23" i="1"/>
  <c r="AU23" i="1"/>
  <c r="AV23" i="1"/>
  <c r="AW23" i="1"/>
  <c r="AY23" i="1"/>
  <c r="AX23" i="1"/>
  <c r="BJ24" i="1" l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K3" i="1"/>
  <c r="D20" i="1"/>
  <c r="BK17" i="1"/>
  <c r="BK15" i="1"/>
  <c r="AH23" i="1"/>
  <c r="BK9" i="1"/>
  <c r="BK8" i="1"/>
  <c r="BK11" i="1"/>
  <c r="AZ23" i="1"/>
  <c r="BL10" i="1"/>
  <c r="BA23" i="1"/>
  <c r="BB23" i="1"/>
  <c r="BC23" i="1"/>
  <c r="BD23" i="1"/>
  <c r="BH23" i="1"/>
  <c r="BG23" i="1"/>
  <c r="BF23" i="1"/>
  <c r="BE23" i="1"/>
  <c r="BL4" i="1"/>
  <c r="BI14" i="1"/>
  <c r="BI16" i="1"/>
  <c r="M3" i="5"/>
  <c r="M3" i="3"/>
  <c r="M3" i="4"/>
  <c r="L3" i="4"/>
  <c r="L3" i="5"/>
  <c r="L3" i="3"/>
  <c r="L3" i="2"/>
  <c r="M3" i="2"/>
  <c r="C3" i="1" s="1"/>
  <c r="BO18" i="1"/>
  <c r="BI18" i="1" s="1"/>
  <c r="BL14" i="1"/>
  <c r="BL18" i="1"/>
  <c r="BL16" i="1"/>
  <c r="BI24" i="1" l="1"/>
  <c r="D3" i="1"/>
  <c r="B3" i="1"/>
  <c r="BO24" i="1"/>
  <c r="BK18" i="1"/>
  <c r="BK4" i="1"/>
  <c r="BK10" i="1"/>
  <c r="BK16" i="1"/>
  <c r="BK14" i="1"/>
  <c r="BK6" i="1" l="1"/>
  <c r="BK24" i="1"/>
  <c r="BL24" i="1" l="1"/>
</calcChain>
</file>

<file path=xl/sharedStrings.xml><?xml version="1.0" encoding="utf-8"?>
<sst xmlns="http://schemas.openxmlformats.org/spreadsheetml/2006/main" count="119" uniqueCount="99">
  <si>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</si>
  <si>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</si>
  <si>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</si>
  <si>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</si>
  <si>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</si>
  <si>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</si>
  <si>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</si>
  <si>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</si>
  <si>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</si>
  <si>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</si>
  <si>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</si>
  <si>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</si>
  <si>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</si>
  <si>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</si>
  <si>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</si>
  <si>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</si>
  <si>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</si>
  <si>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</si>
  <si>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</si>
  <si>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</si>
  <si>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</si>
  <si>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</si>
  <si>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</si>
  <si>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</si>
  <si>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</si>
  <si>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</si>
  <si>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</si>
  <si>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</si>
  <si>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</si>
  <si>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</si>
  <si>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</si>
  <si>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</si>
  <si>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</si>
  <si>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</si>
  <si>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</si>
  <si>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</si>
  <si>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</si>
  <si>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</si>
  <si>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</si>
  <si>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</si>
  <si>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</si>
  <si>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</si>
  <si>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</si>
  <si>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</si>
  <si>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</si>
  <si>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</si>
  <si>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</si>
  <si>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</si>
  <si>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</si>
  <si>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</si>
  <si>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</si>
  <si>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</si>
  <si>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</si>
  <si>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</si>
  <si>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</si>
  <si>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</si>
  <si>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</si>
  <si>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</si>
  <si>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</si>
  <si>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</si>
  <si>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</si>
  <si>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</si>
  <si>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</si>
  <si>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</si>
  <si>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</si>
  <si>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</si>
  <si>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</si>
  <si>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</si>
  <si>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</si>
  <si>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</si>
  <si>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</si>
  <si>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</si>
  <si>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</si>
  <si>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</si>
  <si>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</si>
  <si>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קסם S&amp;P 500 ETF מנוטרלת מט"ח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</si>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</sst>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8" fillId="0" borderId="0" xfId="0" applyFont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O25"/>
  <sheetViews>
    <sheetView tabSelected="1" zoomScaleNormal="100" workbookViewId="0">
      <selection activeCell="E5" sqref="E5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50" width="14.85546875" customWidth="1"/>
    <col min="51" max="60" width="12.7109375" bestFit="1" customWidth="1"/>
    <col min="61" max="61" width="13" bestFit="1" customWidth="1"/>
    <col min="62" max="62" width="13.140625" bestFit="1" customWidth="1"/>
    <col min="63" max="63" width="11" bestFit="1" customWidth="1"/>
    <col min="64" max="64" width="7.140625" bestFit="1" customWidth="1"/>
    <col min="67" max="67" width="11.5703125" customWidth="1"/>
  </cols>
  <sheetData>
    <row r="1" spans="1:67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98</v>
      </c>
      <c r="K1" s="6" t="s">
        <v>97</v>
      </c>
      <c r="L1" s="6" t="s">
        <v>94</v>
      </c>
      <c r="M1" s="6" t="s">
        <v>93</v>
      </c>
      <c r="N1" s="6" t="s">
        <v>92</v>
      </c>
      <c r="O1" s="6" t="s">
        <v>91</v>
      </c>
      <c r="P1" s="6" t="s">
        <v>90</v>
      </c>
      <c r="Q1" s="6" t="s">
        <v>89</v>
      </c>
      <c r="R1" s="6" t="s">
        <v>87</v>
      </c>
      <c r="S1" s="6" t="s">
        <v>86</v>
      </c>
      <c r="T1" s="6" t="s">
        <v>83</v>
      </c>
      <c r="U1" s="6" t="s">
        <v>82</v>
      </c>
      <c r="V1" s="6" t="s">
        <v>81</v>
      </c>
      <c r="W1" s="6" t="s">
        <v>79</v>
      </c>
      <c r="X1" s="6" t="s">
        <v>77</v>
      </c>
      <c r="Y1" s="6" t="s">
        <v>74</v>
      </c>
      <c r="Z1" s="6" t="s">
        <v>73</v>
      </c>
      <c r="AA1" s="6" t="s">
        <v>71</v>
      </c>
      <c r="AB1" s="6" t="s">
        <v>69</v>
      </c>
      <c r="AC1" s="6" t="s">
        <v>65</v>
      </c>
      <c r="AD1" s="6" t="s">
        <v>64</v>
      </c>
      <c r="AE1" s="6" t="s">
        <v>63</v>
      </c>
      <c r="AF1" s="6" t="s">
        <v>62</v>
      </c>
      <c r="AG1" s="6" t="s">
        <v>61</v>
      </c>
      <c r="AH1" s="6" t="s">
        <v>60</v>
      </c>
      <c r="AI1" s="6" t="s">
        <v>59</v>
      </c>
      <c r="AJ1" s="6" t="s">
        <v>58</v>
      </c>
      <c r="AK1" s="6" t="s">
        <v>57</v>
      </c>
      <c r="AL1" s="6" t="s">
        <v>55</v>
      </c>
      <c r="AM1" s="6" t="s">
        <v>54</v>
      </c>
      <c r="AN1" s="6" t="s">
        <v>53</v>
      </c>
      <c r="AO1" s="6" t="s">
        <v>51</v>
      </c>
      <c r="AP1" s="6" t="s">
        <v>50</v>
      </c>
      <c r="AQ1" s="6" t="s">
        <v>49</v>
      </c>
      <c r="AR1" s="6" t="s">
        <v>48</v>
      </c>
      <c r="AS1" s="6" t="s">
        <v>47</v>
      </c>
      <c r="AT1" s="6" t="s">
        <v>46</v>
      </c>
      <c r="AU1" s="6" t="s">
        <v>45</v>
      </c>
      <c r="AV1" s="6" t="s">
        <v>44</v>
      </c>
      <c r="AW1" s="6" t="s">
        <v>43</v>
      </c>
      <c r="AX1" s="6" t="s">
        <v>42</v>
      </c>
      <c r="AY1" s="6" t="s">
        <v>41</v>
      </c>
      <c r="AZ1" s="6" t="s">
        <v>40</v>
      </c>
      <c r="BA1" s="6" t="s">
        <v>38</v>
      </c>
      <c r="BB1" s="6" t="s">
        <v>37</v>
      </c>
      <c r="BC1" s="6" t="s">
        <v>36</v>
      </c>
      <c r="BD1" s="6" t="s">
        <v>35</v>
      </c>
      <c r="BE1" s="6" t="s">
        <v>34</v>
      </c>
      <c r="BF1" s="6" t="s">
        <v>32</v>
      </c>
      <c r="BG1" s="6" t="s">
        <v>31</v>
      </c>
      <c r="BH1" s="6" t="s">
        <v>30</v>
      </c>
      <c r="BI1" s="6" t="s">
        <v>7</v>
      </c>
      <c r="BJ1" s="6" t="s">
        <v>8</v>
      </c>
      <c r="BK1" s="6" t="s">
        <v>9</v>
      </c>
      <c r="BL1" s="6" t="s">
        <v>10</v>
      </c>
      <c r="BM1" s="12" t="s">
        <v>29</v>
      </c>
      <c r="BN1" s="12" t="s">
        <v>28</v>
      </c>
      <c r="BO1" s="12" t="s">
        <v>84</v>
      </c>
    </row>
    <row r="2" spans="1:67" ht="45" customHeight="1" thickBot="1" x14ac:dyDescent="0.3">
      <c r="A2" s="1">
        <v>282012</v>
      </c>
      <c r="B2" s="17"/>
      <c r="C2" s="17"/>
      <c r="D2" s="6" t="str">
        <f>IF(I2&lt;GEMINI!L2,"למכור בהפסד",IF(I2&gt;GEMINI!M2,"למכור ברווח","לשמור"))</f>
        <v>למכור ברווח</v>
      </c>
      <c r="E2" s="5" t="s">
        <v>95</v>
      </c>
      <c r="F2" s="4">
        <v>46042</v>
      </c>
      <c r="G2" s="27">
        <v>7</v>
      </c>
      <c r="H2" s="13">
        <v>11000</v>
      </c>
      <c r="I2" s="13">
        <v>10700</v>
      </c>
      <c r="J2" s="13">
        <v>10400</v>
      </c>
      <c r="K2" s="13">
        <v>11230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33"/>
      <c r="BB2" s="6"/>
      <c r="BC2" s="6"/>
      <c r="BD2" s="33"/>
      <c r="BE2" s="6"/>
      <c r="BF2" s="6"/>
      <c r="BG2" s="6"/>
      <c r="BH2" s="6"/>
      <c r="BI2" s="6"/>
      <c r="BJ2" s="6"/>
      <c r="BK2" s="6"/>
      <c r="BL2" s="6"/>
      <c r="BM2" s="25"/>
      <c r="BN2" s="25"/>
      <c r="BO2" s="25"/>
    </row>
    <row r="3" spans="1:67" ht="45" customHeight="1" thickBot="1" x14ac:dyDescent="0.3">
      <c r="A3" s="1">
        <v>1227552</v>
      </c>
      <c r="B3" s="17">
        <f>GEMINI!L3</f>
        <v>962</v>
      </c>
      <c r="C3" s="17">
        <f>GEMINI!M3</f>
        <v>1273.75</v>
      </c>
      <c r="D3" s="6" t="str">
        <f>IF(I3&lt;GEMINI!L3,"למכור בהפסד",IF(I3&gt;GEMINI!M3,"למכור ברווח","לשמור"))</f>
        <v>למכור ברווח</v>
      </c>
      <c r="E3" s="5" t="s">
        <v>88</v>
      </c>
      <c r="F3" s="4">
        <v>46029</v>
      </c>
      <c r="G3" s="27">
        <v>55</v>
      </c>
      <c r="H3" s="13">
        <v>1153.6300000000001</v>
      </c>
      <c r="I3" s="13">
        <v>1316</v>
      </c>
      <c r="J3" s="13">
        <v>1386</v>
      </c>
      <c r="K3" s="13">
        <v>1342</v>
      </c>
      <c r="L3" s="13">
        <v>1250</v>
      </c>
      <c r="M3" s="13">
        <v>1389</v>
      </c>
      <c r="N3" s="13">
        <v>1389</v>
      </c>
      <c r="O3" s="13">
        <v>1367</v>
      </c>
      <c r="P3" s="13">
        <v>1026</v>
      </c>
      <c r="Q3" s="13">
        <v>949.1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4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29"/>
      <c r="BB3" s="13"/>
      <c r="BC3" s="13"/>
      <c r="BD3" s="29"/>
      <c r="BE3" s="13"/>
      <c r="BF3" s="13"/>
      <c r="BG3" s="13"/>
      <c r="BH3" s="13"/>
      <c r="BI3" s="13">
        <f>(G3*H3)/100-BO3</f>
        <v>634.49650000000008</v>
      </c>
      <c r="BJ3" s="13">
        <f>(G3*H3)/100</f>
        <v>634.49650000000008</v>
      </c>
      <c r="BK3" s="13">
        <f>(BJ3-BI3)</f>
        <v>0</v>
      </c>
      <c r="BL3" s="13">
        <f>((AZ3-H3)/H3)*100</f>
        <v>-100</v>
      </c>
      <c r="BO3" s="15">
        <f>(BM3*BN3-BM3*H3)/100</f>
        <v>0</v>
      </c>
    </row>
    <row r="4" spans="1:67" ht="45" customHeight="1" thickBot="1" x14ac:dyDescent="0.3">
      <c r="A4" s="1">
        <v>587014</v>
      </c>
      <c r="B4" s="17">
        <f>GEMINI!L4</f>
        <v>5621</v>
      </c>
      <c r="C4" s="17">
        <f>GEMINI!M4</f>
        <v>6701.5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6060</v>
      </c>
      <c r="J4" s="13">
        <v>6050</v>
      </c>
      <c r="K4" s="13">
        <v>6169</v>
      </c>
      <c r="L4" s="13">
        <v>6300</v>
      </c>
      <c r="M4" s="13">
        <v>6335</v>
      </c>
      <c r="N4" s="13">
        <v>6335</v>
      </c>
      <c r="O4" s="13">
        <v>6444</v>
      </c>
      <c r="P4" s="13">
        <v>5749</v>
      </c>
      <c r="Q4" s="13">
        <v>5749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29"/>
      <c r="BB4" s="13"/>
      <c r="BC4" s="13"/>
      <c r="BD4" s="29"/>
      <c r="BE4" s="13"/>
      <c r="BF4" s="13"/>
      <c r="BG4" s="13"/>
      <c r="BH4" s="13"/>
      <c r="BI4" s="13">
        <f>(G4*H4)/100-BO4</f>
        <v>1185</v>
      </c>
      <c r="BJ4" s="13">
        <f>(G4*H4)/100</f>
        <v>1185</v>
      </c>
      <c r="BK4" s="13">
        <f>(BJ4-BI4)</f>
        <v>0</v>
      </c>
      <c r="BL4" s="13">
        <f>((AZ4-H4)/H4)*100</f>
        <v>-100</v>
      </c>
      <c r="BO4" s="15">
        <f>(BM4*BN4-BM4*H4)/100</f>
        <v>0</v>
      </c>
    </row>
    <row r="5" spans="1:67" ht="45" customHeight="1" thickBot="1" x14ac:dyDescent="0.3">
      <c r="A5" s="1">
        <v>1099787</v>
      </c>
      <c r="B5" s="17">
        <f>GEMINI!L5</f>
        <v>601</v>
      </c>
      <c r="C5" s="17">
        <f>GEMINI!M5</f>
        <v>772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46010</v>
      </c>
      <c r="G5" s="27">
        <v>0</v>
      </c>
      <c r="H5" s="13">
        <v>525.71</v>
      </c>
      <c r="I5" s="13">
        <v>595.4</v>
      </c>
      <c r="J5" s="13">
        <v>595.4</v>
      </c>
      <c r="K5" s="13">
        <v>667.1</v>
      </c>
      <c r="L5" s="13">
        <v>651</v>
      </c>
      <c r="M5" s="13">
        <v>641.1</v>
      </c>
      <c r="N5" s="13">
        <v>641.1</v>
      </c>
      <c r="O5" s="13">
        <v>607.1</v>
      </c>
      <c r="P5" s="13">
        <v>583</v>
      </c>
      <c r="Q5" s="13">
        <v>581.6</v>
      </c>
      <c r="R5" s="13">
        <v>578.70000000000005</v>
      </c>
      <c r="S5" s="13">
        <v>590</v>
      </c>
      <c r="T5" s="13">
        <v>554.70000000000005</v>
      </c>
      <c r="U5" s="13">
        <v>511.8</v>
      </c>
      <c r="V5" s="13">
        <v>487</v>
      </c>
      <c r="W5" s="13">
        <v>478.8</v>
      </c>
      <c r="X5" s="13">
        <v>485.5</v>
      </c>
      <c r="Y5" s="13">
        <v>453.4</v>
      </c>
      <c r="Z5" s="13">
        <v>426.1</v>
      </c>
      <c r="AA5" s="13">
        <v>423.2</v>
      </c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29"/>
      <c r="BB5" s="13"/>
      <c r="BC5" s="13"/>
      <c r="BD5" s="29"/>
      <c r="BE5" s="13"/>
      <c r="BF5" s="13"/>
      <c r="BG5" s="13"/>
      <c r="BH5" s="13"/>
      <c r="BI5" s="13">
        <f t="shared" ref="BI5:BI19" si="0">(G5*H5)/100-BO5</f>
        <v>-294.42399999999992</v>
      </c>
      <c r="BJ5" s="13">
        <f>(G5*H5)/100</f>
        <v>0</v>
      </c>
      <c r="BK5" s="13"/>
      <c r="BL5" s="13"/>
      <c r="BM5">
        <v>260</v>
      </c>
      <c r="BN5">
        <v>638.95000000000005</v>
      </c>
      <c r="BO5" s="15">
        <f>(BM5*BN5-BM5*H5)/100</f>
        <v>294.42399999999992</v>
      </c>
    </row>
    <row r="6" spans="1:67" ht="45" customHeight="1" thickBot="1" x14ac:dyDescent="0.3">
      <c r="A6" s="2">
        <v>1166768</v>
      </c>
      <c r="B6" s="17">
        <f>GEMINI!L6</f>
        <v>3340.25</v>
      </c>
      <c r="C6" s="17">
        <f>GEMINI!M6</f>
        <v>4231.75</v>
      </c>
      <c r="D6" s="6" t="str">
        <f>IF(I6&lt;GEMINI!L6,"למכור בהפסד",IF(I6&gt;GEMINI!M6,"למכור ברווח","לשמור"))</f>
        <v>לשמור</v>
      </c>
      <c r="E6" s="5" t="s">
        <v>85</v>
      </c>
      <c r="F6" s="4">
        <v>46028</v>
      </c>
      <c r="G6" s="27">
        <v>15</v>
      </c>
      <c r="H6" s="13">
        <v>3700</v>
      </c>
      <c r="I6" s="13">
        <v>3931</v>
      </c>
      <c r="J6" s="13">
        <v>3870</v>
      </c>
      <c r="K6" s="13">
        <v>3805</v>
      </c>
      <c r="L6" s="13">
        <v>3667</v>
      </c>
      <c r="M6" s="13">
        <v>3582</v>
      </c>
      <c r="N6" s="13">
        <v>3582</v>
      </c>
      <c r="O6" s="13">
        <v>3570</v>
      </c>
      <c r="P6" s="13">
        <v>3619</v>
      </c>
      <c r="Q6" s="13">
        <v>3650</v>
      </c>
      <c r="R6" s="13">
        <v>3720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29"/>
      <c r="BB6" s="13"/>
      <c r="BC6" s="13"/>
      <c r="BD6" s="29"/>
      <c r="BE6" s="13"/>
      <c r="BF6" s="13"/>
      <c r="BG6" s="13"/>
      <c r="BI6" s="13">
        <f>(G6*H6)/100-BO6</f>
        <v>561.70000000000005</v>
      </c>
      <c r="BJ6" s="13">
        <f>(G6*H6)/100</f>
        <v>555</v>
      </c>
      <c r="BK6" s="13">
        <f t="shared" ref="BK6" si="1">(BJ6-BI6)</f>
        <v>-6.7000000000000455</v>
      </c>
      <c r="BL6" s="13">
        <f>((AZ6-H6)/H6)*100</f>
        <v>-100</v>
      </c>
      <c r="BM6">
        <v>5</v>
      </c>
      <c r="BN6">
        <v>3566</v>
      </c>
      <c r="BO6" s="15">
        <f>(BM6*BN6-BM6*H6)/100</f>
        <v>-6.7</v>
      </c>
    </row>
    <row r="7" spans="1:67" ht="45" customHeight="1" thickBot="1" x14ac:dyDescent="0.3">
      <c r="A7" s="1">
        <v>1148899</v>
      </c>
      <c r="B7" s="17">
        <f>GEMINI!L7</f>
        <v>3603.25</v>
      </c>
      <c r="C7" s="17">
        <f>GEMINI!M7</f>
        <v>4253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90</v>
      </c>
      <c r="H7" s="13">
        <v>3585</v>
      </c>
      <c r="I7" s="13">
        <v>3885</v>
      </c>
      <c r="J7" s="13">
        <v>3860</v>
      </c>
      <c r="K7" s="13">
        <v>3893</v>
      </c>
      <c r="L7" s="13">
        <v>3900</v>
      </c>
      <c r="M7" s="13">
        <v>3842</v>
      </c>
      <c r="N7" s="13">
        <v>3842</v>
      </c>
      <c r="O7" s="13">
        <v>3841</v>
      </c>
      <c r="P7" s="13">
        <v>3809</v>
      </c>
      <c r="Q7" s="13">
        <v>3810</v>
      </c>
      <c r="R7" s="13">
        <v>3798</v>
      </c>
      <c r="S7" s="13">
        <v>3713</v>
      </c>
      <c r="T7" s="13">
        <v>3657</v>
      </c>
      <c r="U7" s="13">
        <v>3592</v>
      </c>
      <c r="V7" s="13">
        <v>3621</v>
      </c>
      <c r="W7" s="13">
        <v>3572</v>
      </c>
      <c r="X7" s="13">
        <v>3580</v>
      </c>
      <c r="Y7" s="13">
        <v>3569</v>
      </c>
      <c r="Z7" s="13">
        <v>3659</v>
      </c>
      <c r="AA7" s="13">
        <v>3656</v>
      </c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29"/>
      <c r="BB7" s="13"/>
      <c r="BC7" s="13"/>
      <c r="BD7" s="29"/>
      <c r="BE7" s="13"/>
      <c r="BF7" s="13"/>
      <c r="BG7" s="13"/>
      <c r="BH7" s="13"/>
      <c r="BI7" s="13">
        <f t="shared" si="0"/>
        <v>3226.5</v>
      </c>
      <c r="BJ7" s="13">
        <f t="shared" ref="BJ7:BJ19" si="2">(G7*H7)/100</f>
        <v>3226.5</v>
      </c>
      <c r="BK7" s="13"/>
      <c r="BL7" s="13"/>
      <c r="BO7" s="15"/>
    </row>
    <row r="8" spans="1:67" ht="45" customHeight="1" thickBot="1" x14ac:dyDescent="0.3">
      <c r="A8" s="1">
        <v>1082379</v>
      </c>
      <c r="B8" s="17">
        <f>GEMINI!L8</f>
        <v>36536.25</v>
      </c>
      <c r="C8" s="17">
        <f>GEMINI!M8</f>
        <v>42975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42250</v>
      </c>
      <c r="J8" s="13">
        <v>42050</v>
      </c>
      <c r="K8" s="13">
        <v>39960</v>
      </c>
      <c r="L8" s="13">
        <v>39990</v>
      </c>
      <c r="M8" s="13">
        <v>38680</v>
      </c>
      <c r="N8" s="13">
        <v>38680</v>
      </c>
      <c r="O8" s="13">
        <v>37770</v>
      </c>
      <c r="P8" s="13">
        <v>36330</v>
      </c>
      <c r="Q8" s="13">
        <v>38680</v>
      </c>
      <c r="R8" s="13">
        <v>39090</v>
      </c>
      <c r="S8" s="13">
        <v>37300</v>
      </c>
      <c r="T8" s="13">
        <v>37650</v>
      </c>
      <c r="U8" s="13">
        <v>37300</v>
      </c>
      <c r="V8" s="13">
        <v>39450</v>
      </c>
      <c r="W8" s="13">
        <v>38390</v>
      </c>
      <c r="X8" s="13">
        <v>38800</v>
      </c>
      <c r="Y8" s="13">
        <v>38510</v>
      </c>
      <c r="Z8" s="13">
        <v>38970</v>
      </c>
      <c r="AA8" s="13">
        <v>38970</v>
      </c>
      <c r="AB8" s="13">
        <v>37700</v>
      </c>
      <c r="AC8" s="13">
        <v>37700</v>
      </c>
      <c r="AD8" s="13">
        <v>37750</v>
      </c>
      <c r="AE8" s="13">
        <v>38430</v>
      </c>
      <c r="AF8" s="13">
        <v>38250</v>
      </c>
      <c r="AG8" s="13">
        <v>40110</v>
      </c>
      <c r="AH8" s="13">
        <v>40820</v>
      </c>
      <c r="AI8" s="13">
        <v>39320</v>
      </c>
      <c r="AJ8" s="13">
        <v>37800</v>
      </c>
      <c r="AK8" s="13">
        <v>36620</v>
      </c>
      <c r="AL8" s="13">
        <v>37130</v>
      </c>
      <c r="AM8" s="13">
        <v>35850</v>
      </c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29"/>
      <c r="BB8" s="13"/>
      <c r="BC8" s="13"/>
      <c r="BD8" s="29"/>
      <c r="BE8" s="13"/>
      <c r="BF8" s="13"/>
      <c r="BG8" s="13"/>
      <c r="BH8" s="13"/>
      <c r="BI8" s="13">
        <f t="shared" si="0"/>
        <v>806.25</v>
      </c>
      <c r="BJ8" s="13">
        <f t="shared" si="2"/>
        <v>757.5</v>
      </c>
      <c r="BK8" s="13">
        <f t="shared" ref="BK8:BK11" si="3">(BJ8-BI8)</f>
        <v>-48.75</v>
      </c>
      <c r="BL8" s="13"/>
      <c r="BM8">
        <v>3</v>
      </c>
      <c r="BN8">
        <v>36250</v>
      </c>
      <c r="BO8" s="15">
        <f>(BM8*BN8-BM8*H8)/100</f>
        <v>-48.75</v>
      </c>
    </row>
    <row r="9" spans="1:67" ht="45" customHeight="1" thickBot="1" x14ac:dyDescent="0.3">
      <c r="A9" s="1">
        <v>629014</v>
      </c>
      <c r="B9" s="17">
        <f>GEMINI!L9</f>
        <v>9327.5</v>
      </c>
      <c r="C9" s="17">
        <f>GEMINI!M9</f>
        <v>11459.25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5</v>
      </c>
      <c r="H9" s="13">
        <v>9227</v>
      </c>
      <c r="I9" s="13">
        <v>9917</v>
      </c>
      <c r="J9" s="13">
        <v>9999</v>
      </c>
      <c r="K9" s="13">
        <v>9962</v>
      </c>
      <c r="L9" s="13">
        <v>9979</v>
      </c>
      <c r="M9" s="13">
        <v>10130</v>
      </c>
      <c r="N9" s="13">
        <v>10130</v>
      </c>
      <c r="O9" s="13">
        <v>10400</v>
      </c>
      <c r="P9" s="13">
        <v>10320</v>
      </c>
      <c r="Q9" s="13">
        <v>10300</v>
      </c>
      <c r="R9" s="13">
        <v>10310</v>
      </c>
      <c r="S9" s="13">
        <v>9672</v>
      </c>
      <c r="T9" s="13">
        <v>9953</v>
      </c>
      <c r="U9" s="13">
        <v>10090</v>
      </c>
      <c r="V9" s="13">
        <v>10070</v>
      </c>
      <c r="W9" s="13">
        <v>10030</v>
      </c>
      <c r="X9" s="13">
        <v>10120</v>
      </c>
      <c r="Y9" s="13">
        <v>10000</v>
      </c>
      <c r="Z9" s="13">
        <v>10080</v>
      </c>
      <c r="AA9" s="13">
        <v>10030</v>
      </c>
      <c r="AB9" s="13">
        <v>9726</v>
      </c>
      <c r="AC9" s="13">
        <v>9726</v>
      </c>
      <c r="AD9" s="13">
        <v>9659</v>
      </c>
      <c r="AE9" s="13">
        <v>9670</v>
      </c>
      <c r="AF9" s="13">
        <v>9590</v>
      </c>
      <c r="AG9" s="13">
        <v>9588</v>
      </c>
      <c r="AH9" s="13">
        <v>9400</v>
      </c>
      <c r="AI9" s="13">
        <v>9320</v>
      </c>
      <c r="AJ9" s="13">
        <v>9071</v>
      </c>
      <c r="AK9" s="13">
        <v>9271</v>
      </c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29"/>
      <c r="BB9" s="13"/>
      <c r="BC9" s="13"/>
      <c r="BD9" s="29"/>
      <c r="BE9" s="13"/>
      <c r="BF9" s="13"/>
      <c r="BG9" s="13"/>
      <c r="BH9" s="13"/>
      <c r="BI9" s="13">
        <f t="shared" si="0"/>
        <v>461.35</v>
      </c>
      <c r="BJ9" s="13">
        <f t="shared" si="2"/>
        <v>461.35</v>
      </c>
      <c r="BK9" s="13">
        <f t="shared" si="3"/>
        <v>0</v>
      </c>
      <c r="BL9" s="13"/>
      <c r="BO9" s="15">
        <f>(BM9*BN9-BM9*H9)/100</f>
        <v>0</v>
      </c>
    </row>
    <row r="10" spans="1:67" ht="45" customHeight="1" thickBot="1" x14ac:dyDescent="0.3">
      <c r="A10" s="1">
        <v>1141464</v>
      </c>
      <c r="B10" s="17">
        <f>GEMINI!L10</f>
        <v>4968.75</v>
      </c>
      <c r="C10" s="17">
        <f>GEMINI!M10</f>
        <v>6041.5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4930</v>
      </c>
      <c r="J10" s="13">
        <v>4930</v>
      </c>
      <c r="K10" s="13">
        <v>5150</v>
      </c>
      <c r="L10" s="13">
        <v>5283</v>
      </c>
      <c r="M10" s="13">
        <v>5253</v>
      </c>
      <c r="N10" s="13">
        <v>5253</v>
      </c>
      <c r="O10" s="13">
        <v>5400</v>
      </c>
      <c r="P10" s="13">
        <v>5522</v>
      </c>
      <c r="Q10" s="13">
        <v>5690</v>
      </c>
      <c r="R10" s="13">
        <v>5749</v>
      </c>
      <c r="S10" s="13">
        <v>5840</v>
      </c>
      <c r="T10" s="13">
        <v>5650</v>
      </c>
      <c r="U10" s="13">
        <v>5650</v>
      </c>
      <c r="V10" s="13">
        <v>5841</v>
      </c>
      <c r="W10" s="13">
        <v>5758</v>
      </c>
      <c r="X10" s="13">
        <v>5673</v>
      </c>
      <c r="Y10" s="13">
        <v>5609</v>
      </c>
      <c r="Z10" s="13">
        <v>5750</v>
      </c>
      <c r="AA10" s="13">
        <v>5841</v>
      </c>
      <c r="AB10" s="13">
        <v>5564</v>
      </c>
      <c r="AC10" s="13">
        <v>5564</v>
      </c>
      <c r="AD10" s="13">
        <v>5557</v>
      </c>
      <c r="AE10" s="13">
        <v>5501</v>
      </c>
      <c r="AF10" s="13">
        <v>5250</v>
      </c>
      <c r="AG10" s="13">
        <v>5270</v>
      </c>
      <c r="AH10" s="13">
        <v>5149</v>
      </c>
      <c r="AI10" s="13">
        <v>5092</v>
      </c>
      <c r="AJ10" s="13">
        <v>5228</v>
      </c>
      <c r="AK10" s="13">
        <v>5301</v>
      </c>
      <c r="AL10" s="13">
        <v>5159</v>
      </c>
      <c r="AM10" s="13">
        <v>5198</v>
      </c>
      <c r="AN10" s="13">
        <v>5077</v>
      </c>
      <c r="AO10" s="13">
        <v>4842</v>
      </c>
      <c r="AP10" s="13">
        <v>5050</v>
      </c>
      <c r="AQ10" s="13">
        <v>4970</v>
      </c>
      <c r="AR10" s="13">
        <v>4880</v>
      </c>
      <c r="AS10" s="13">
        <v>4704</v>
      </c>
      <c r="AT10" s="13">
        <v>4770</v>
      </c>
      <c r="AU10" s="13">
        <v>4609</v>
      </c>
      <c r="AV10" s="13">
        <v>4674</v>
      </c>
      <c r="AW10" s="13">
        <v>4710</v>
      </c>
      <c r="AX10" s="13">
        <v>4688</v>
      </c>
      <c r="AY10" s="13">
        <v>4900</v>
      </c>
      <c r="AZ10" s="13">
        <v>5000</v>
      </c>
      <c r="BA10" s="29">
        <v>4932</v>
      </c>
      <c r="BB10" s="13"/>
      <c r="BC10" s="13"/>
      <c r="BD10" s="29"/>
      <c r="BE10" s="13"/>
      <c r="BF10" s="13"/>
      <c r="BG10" s="13"/>
      <c r="BH10" s="13"/>
      <c r="BI10" s="13">
        <f t="shared" si="0"/>
        <v>-87.859799999999964</v>
      </c>
      <c r="BJ10" s="13">
        <f t="shared" si="2"/>
        <v>0</v>
      </c>
      <c r="BK10" s="13">
        <f t="shared" si="3"/>
        <v>87.859799999999964</v>
      </c>
      <c r="BL10" s="13">
        <f>((AZ10-H10)/H10)*100</f>
        <v>3.434009102192801</v>
      </c>
      <c r="BM10">
        <v>21</v>
      </c>
      <c r="BN10">
        <v>5252.38</v>
      </c>
      <c r="BO10" s="15">
        <f>(BM10*BN10-BM10*H10)/100</f>
        <v>87.859799999999964</v>
      </c>
    </row>
    <row r="11" spans="1:67" ht="45" customHeight="1" thickBot="1" x14ac:dyDescent="0.3">
      <c r="A11" s="1">
        <v>1166974</v>
      </c>
      <c r="B11" s="17">
        <f>GEMINI!L11</f>
        <v>863.5</v>
      </c>
      <c r="C11" s="17">
        <f>GEMINI!M11</f>
        <v>1085.5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1003</v>
      </c>
      <c r="J11" s="13">
        <v>993</v>
      </c>
      <c r="K11" s="13">
        <v>1017</v>
      </c>
      <c r="L11" s="13">
        <v>960</v>
      </c>
      <c r="M11" s="13">
        <v>965</v>
      </c>
      <c r="N11" s="13">
        <v>965</v>
      </c>
      <c r="O11" s="13">
        <v>951.7</v>
      </c>
      <c r="P11" s="13">
        <v>946</v>
      </c>
      <c r="Q11" s="13">
        <v>869.2</v>
      </c>
      <c r="R11" s="13">
        <v>865</v>
      </c>
      <c r="S11" s="13">
        <v>851</v>
      </c>
      <c r="T11" s="13">
        <v>829.3</v>
      </c>
      <c r="U11" s="13">
        <v>830</v>
      </c>
      <c r="V11" s="13">
        <v>810</v>
      </c>
      <c r="W11" s="13">
        <v>812.8</v>
      </c>
      <c r="X11" s="13">
        <v>788</v>
      </c>
      <c r="Y11" s="13">
        <v>772</v>
      </c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29"/>
      <c r="BB11" s="13"/>
      <c r="BC11" s="13"/>
      <c r="BD11" s="29"/>
      <c r="BE11" s="13"/>
      <c r="BF11" s="13"/>
      <c r="BG11" s="13"/>
      <c r="BH11" s="13"/>
      <c r="BI11" s="13">
        <f t="shared" si="0"/>
        <v>721.49600000000009</v>
      </c>
      <c r="BJ11" s="13">
        <f t="shared" si="2"/>
        <v>721.49600000000009</v>
      </c>
      <c r="BK11" s="13">
        <f t="shared" si="3"/>
        <v>0</v>
      </c>
      <c r="BL11" s="13"/>
      <c r="BO11" s="15">
        <f>(BM11*BN11-BM11*H11)/100</f>
        <v>0</v>
      </c>
    </row>
    <row r="12" spans="1:67" ht="45" customHeight="1" thickBot="1" x14ac:dyDescent="0.3">
      <c r="A12" s="1">
        <v>1176593</v>
      </c>
      <c r="B12" s="17">
        <f>GEMINI!L12</f>
        <v>22573</v>
      </c>
      <c r="C12" s="17">
        <f>GEMINI!M12</f>
        <v>27485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7</v>
      </c>
      <c r="H12" s="13">
        <v>22581.42</v>
      </c>
      <c r="I12" s="13">
        <v>26620</v>
      </c>
      <c r="J12" s="13">
        <v>25950</v>
      </c>
      <c r="K12" s="13">
        <v>26000</v>
      </c>
      <c r="L12" s="13">
        <v>26600</v>
      </c>
      <c r="M12" s="13">
        <v>24630</v>
      </c>
      <c r="N12" s="13">
        <v>24630</v>
      </c>
      <c r="O12" s="13">
        <v>25230</v>
      </c>
      <c r="P12" s="13">
        <v>24700</v>
      </c>
      <c r="Q12" s="13">
        <v>23780</v>
      </c>
      <c r="R12" s="13">
        <v>23920</v>
      </c>
      <c r="S12" s="13">
        <v>22390</v>
      </c>
      <c r="T12" s="13">
        <v>23000</v>
      </c>
      <c r="U12" s="13">
        <v>20990</v>
      </c>
      <c r="V12" s="13">
        <v>20260</v>
      </c>
      <c r="W12" s="13">
        <v>19200</v>
      </c>
      <c r="X12" s="13">
        <v>19860</v>
      </c>
      <c r="Y12" s="13">
        <v>19700</v>
      </c>
      <c r="Z12" s="13">
        <v>19430</v>
      </c>
      <c r="AA12" s="13">
        <v>19020</v>
      </c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29"/>
      <c r="BB12" s="13"/>
      <c r="BC12" s="13"/>
      <c r="BD12" s="29"/>
      <c r="BE12" s="13"/>
      <c r="BF12" s="13"/>
      <c r="BG12" s="13"/>
      <c r="BH12" s="13"/>
      <c r="BI12" s="13">
        <f t="shared" si="0"/>
        <v>1580.6994</v>
      </c>
      <c r="BJ12" s="13">
        <f t="shared" si="2"/>
        <v>1580.6994</v>
      </c>
      <c r="BK12" s="13"/>
      <c r="BL12" s="13"/>
      <c r="BO12" s="15">
        <f t="shared" ref="BO12:BO14" si="4">(BM12*BN12-BM12*H12)/100</f>
        <v>0</v>
      </c>
    </row>
    <row r="13" spans="1:67" ht="45" customHeight="1" thickBot="1" x14ac:dyDescent="0.3">
      <c r="A13" s="1">
        <v>397018</v>
      </c>
      <c r="B13" s="17"/>
      <c r="C13" s="17"/>
      <c r="D13" s="6" t="str">
        <f>IF(I13&lt;GEMINI!L13,"למכור בהפסד",IF(I13&gt;GEMINI!M13,"למכור ברווח","לשמור"))</f>
        <v>למכור ברווח</v>
      </c>
      <c r="E13" s="5" t="s">
        <v>96</v>
      </c>
      <c r="F13" s="4">
        <v>46042</v>
      </c>
      <c r="G13" s="27">
        <v>100</v>
      </c>
      <c r="H13" s="13">
        <v>723</v>
      </c>
      <c r="I13" s="13">
        <v>830.1</v>
      </c>
      <c r="J13" s="13">
        <v>822</v>
      </c>
      <c r="K13" s="13">
        <v>790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29"/>
      <c r="BB13" s="13"/>
      <c r="BC13" s="13"/>
      <c r="BD13" s="29"/>
      <c r="BE13" s="13"/>
      <c r="BF13" s="13"/>
      <c r="BG13" s="13"/>
      <c r="BH13" s="13"/>
      <c r="BI13" s="13">
        <f t="shared" si="0"/>
        <v>723</v>
      </c>
      <c r="BJ13" s="13">
        <f t="shared" si="2"/>
        <v>723</v>
      </c>
      <c r="BK13" s="13"/>
      <c r="BL13" s="13"/>
      <c r="BO13" s="15">
        <f t="shared" si="4"/>
        <v>0</v>
      </c>
    </row>
    <row r="14" spans="1:67" ht="45" customHeight="1" thickBot="1" x14ac:dyDescent="0.3">
      <c r="A14" s="1">
        <v>662577</v>
      </c>
      <c r="B14" s="17">
        <f>GEMINI!L14</f>
        <v>7260.5</v>
      </c>
      <c r="C14" s="17">
        <f>GEMINI!M14</f>
        <v>8564.5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7722</v>
      </c>
      <c r="J14" s="13">
        <v>7725</v>
      </c>
      <c r="K14" s="13">
        <v>7787</v>
      </c>
      <c r="L14" s="13">
        <v>7955</v>
      </c>
      <c r="M14" s="13">
        <v>7627</v>
      </c>
      <c r="N14" s="13">
        <v>7627</v>
      </c>
      <c r="O14" s="13">
        <v>7656</v>
      </c>
      <c r="P14" s="13">
        <v>7507</v>
      </c>
      <c r="Q14" s="13">
        <v>7590</v>
      </c>
      <c r="R14" s="13">
        <v>7569</v>
      </c>
      <c r="S14" s="13">
        <v>7269</v>
      </c>
      <c r="T14" s="13">
        <v>7444</v>
      </c>
      <c r="U14" s="13">
        <v>7205</v>
      </c>
      <c r="V14" s="13">
        <v>7298</v>
      </c>
      <c r="W14" s="13">
        <v>7222</v>
      </c>
      <c r="X14" s="13">
        <v>7079</v>
      </c>
      <c r="Y14" s="13">
        <v>7140</v>
      </c>
      <c r="Z14" s="13">
        <v>7440</v>
      </c>
      <c r="AA14" s="13">
        <v>7530</v>
      </c>
      <c r="AB14" s="13">
        <v>7535</v>
      </c>
      <c r="AC14" s="13">
        <v>7535</v>
      </c>
      <c r="AD14" s="13">
        <v>7568</v>
      </c>
      <c r="AE14" s="13">
        <v>7699</v>
      </c>
      <c r="AF14" s="13">
        <v>7638</v>
      </c>
      <c r="AG14" s="13">
        <v>7654</v>
      </c>
      <c r="AH14" s="13">
        <v>7584</v>
      </c>
      <c r="AI14" s="13">
        <v>7479</v>
      </c>
      <c r="AJ14" s="13">
        <v>7490</v>
      </c>
      <c r="AK14" s="13">
        <v>7480</v>
      </c>
      <c r="AL14" s="13">
        <v>7270</v>
      </c>
      <c r="AM14" s="13">
        <v>7163</v>
      </c>
      <c r="AN14" s="13">
        <v>7231</v>
      </c>
      <c r="AO14" s="13">
        <v>7100</v>
      </c>
      <c r="AP14" s="13">
        <v>7100</v>
      </c>
      <c r="AQ14" s="13">
        <v>7027</v>
      </c>
      <c r="AR14" s="13">
        <v>6984</v>
      </c>
      <c r="AS14" s="13">
        <v>6944</v>
      </c>
      <c r="AT14" s="13">
        <v>6924</v>
      </c>
      <c r="AU14" s="13">
        <v>6930</v>
      </c>
      <c r="AV14" s="13">
        <v>6938</v>
      </c>
      <c r="AW14" s="13">
        <v>6989</v>
      </c>
      <c r="AX14" s="13">
        <v>6871</v>
      </c>
      <c r="AY14" s="13">
        <v>6943</v>
      </c>
      <c r="AZ14" s="13">
        <v>7040</v>
      </c>
      <c r="BA14" s="29">
        <v>6696</v>
      </c>
      <c r="BB14" s="13">
        <v>6965</v>
      </c>
      <c r="BC14" s="13">
        <v>6788</v>
      </c>
      <c r="BD14" s="29">
        <v>6696</v>
      </c>
      <c r="BE14" s="13">
        <v>6625</v>
      </c>
      <c r="BF14" s="13">
        <v>6660</v>
      </c>
      <c r="BG14" s="13">
        <v>6791</v>
      </c>
      <c r="BH14" s="13">
        <v>6610</v>
      </c>
      <c r="BI14" s="13">
        <f t="shared" si="0"/>
        <v>648.37980000000005</v>
      </c>
      <c r="BJ14" s="13">
        <f t="shared" si="2"/>
        <v>648.37980000000005</v>
      </c>
      <c r="BK14" s="13">
        <f t="shared" ref="BK14" si="5">(BJ14-BI14)</f>
        <v>0</v>
      </c>
      <c r="BL14" s="13">
        <f>((AZ14-H14)/H14)*100</f>
        <v>-2.2794972946411995</v>
      </c>
      <c r="BO14" s="15">
        <f t="shared" si="4"/>
        <v>0</v>
      </c>
    </row>
    <row r="15" spans="1:67" ht="45" customHeight="1" thickBot="1" x14ac:dyDescent="0.3">
      <c r="A15" s="1">
        <v>5137534</v>
      </c>
      <c r="B15" s="17">
        <f>GEMINI!L15</f>
        <v>11369.25</v>
      </c>
      <c r="C15" s="17">
        <f>GEMINI!M15</f>
        <v>14031.25</v>
      </c>
      <c r="D15" s="6" t="str">
        <f>IF(I15&lt;GEMINI!L15,"למכור בהפסד",IF(I15&gt;GEMINI!M15,"למכור ברווח","לשמור"))</f>
        <v>לשמור</v>
      </c>
      <c r="E15" s="5" t="s">
        <v>78</v>
      </c>
      <c r="F15" s="28">
        <v>46020</v>
      </c>
      <c r="G15" s="27">
        <v>8</v>
      </c>
      <c r="H15" s="13">
        <v>11598.87</v>
      </c>
      <c r="I15" s="13">
        <v>13765.62</v>
      </c>
      <c r="J15" s="13">
        <v>13880</v>
      </c>
      <c r="K15" s="13">
        <v>13610.62</v>
      </c>
      <c r="L15" s="13">
        <v>13016</v>
      </c>
      <c r="M15" s="13">
        <v>12487.37</v>
      </c>
      <c r="N15" s="13">
        <v>12638.62</v>
      </c>
      <c r="O15" s="13">
        <v>12533.87</v>
      </c>
      <c r="P15" s="13">
        <v>11299.5</v>
      </c>
      <c r="Q15" s="13">
        <v>11193.12</v>
      </c>
      <c r="R15" s="13">
        <v>11548.62</v>
      </c>
      <c r="S15" s="13">
        <v>11125.62</v>
      </c>
      <c r="T15" s="13">
        <v>10932.12</v>
      </c>
      <c r="U15" s="13">
        <v>11095.62</v>
      </c>
      <c r="V15" s="13">
        <v>10910.58</v>
      </c>
      <c r="W15" s="13">
        <v>11609.37</v>
      </c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4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29"/>
      <c r="BB15" s="13"/>
      <c r="BC15" s="13"/>
      <c r="BD15" s="29"/>
      <c r="BE15" s="13"/>
      <c r="BF15" s="13"/>
      <c r="BG15" s="13"/>
      <c r="BH15" s="13"/>
      <c r="BI15" s="13">
        <f t="shared" si="0"/>
        <v>927.90960000000007</v>
      </c>
      <c r="BJ15" s="13">
        <f t="shared" si="2"/>
        <v>927.90960000000007</v>
      </c>
      <c r="BK15" s="13">
        <f t="shared" ref="BK15:BK18" si="6">(BJ15-BI15)</f>
        <v>0</v>
      </c>
      <c r="BL15" s="13">
        <f>((AZ15-H15)/H15)*100</f>
        <v>-100</v>
      </c>
      <c r="BO15" s="15">
        <f t="shared" ref="BO15:BO18" si="7">(BM15*BN15-BM15*H15)/100</f>
        <v>0</v>
      </c>
    </row>
    <row r="16" spans="1:67" ht="45" customHeight="1" thickBot="1" x14ac:dyDescent="0.3">
      <c r="A16" s="1">
        <v>5135470</v>
      </c>
      <c r="B16" s="17">
        <f>GEMINI!L16</f>
        <v>186.25</v>
      </c>
      <c r="C16" s="17">
        <f>GEMINI!M16</f>
        <v>234.5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300</v>
      </c>
      <c r="H16" s="13">
        <v>183.73</v>
      </c>
      <c r="I16" s="13">
        <v>216.78</v>
      </c>
      <c r="J16" s="13">
        <v>219.3</v>
      </c>
      <c r="K16" s="13">
        <v>222.79</v>
      </c>
      <c r="L16" s="13">
        <v>221.16</v>
      </c>
      <c r="M16" s="13">
        <v>220.66</v>
      </c>
      <c r="N16" s="13">
        <v>222.06</v>
      </c>
      <c r="O16" s="13">
        <v>218.71</v>
      </c>
      <c r="P16" s="13">
        <v>216.74</v>
      </c>
      <c r="Q16" s="13">
        <v>216.04</v>
      </c>
      <c r="R16" s="13">
        <v>210.69</v>
      </c>
      <c r="S16" s="13">
        <v>210.69</v>
      </c>
      <c r="T16" s="13">
        <v>198</v>
      </c>
      <c r="U16" s="13">
        <v>196.74</v>
      </c>
      <c r="V16" s="13">
        <v>192.56</v>
      </c>
      <c r="W16" s="13">
        <v>192.23</v>
      </c>
      <c r="X16" s="13">
        <v>191.19</v>
      </c>
      <c r="Y16" s="13">
        <v>193.62</v>
      </c>
      <c r="Z16" s="13">
        <v>190.75</v>
      </c>
      <c r="AA16" s="13">
        <v>189.06</v>
      </c>
      <c r="AB16" s="13">
        <v>182.73</v>
      </c>
      <c r="AC16" s="13">
        <v>182.73</v>
      </c>
      <c r="AD16" s="13">
        <v>177.92</v>
      </c>
      <c r="AE16" s="13">
        <v>179.16</v>
      </c>
      <c r="AF16" s="13">
        <v>179.34</v>
      </c>
      <c r="AG16" s="13">
        <v>176.5</v>
      </c>
      <c r="AH16" s="13">
        <v>176.5</v>
      </c>
      <c r="AI16" s="13">
        <v>175.93</v>
      </c>
      <c r="AJ16" s="13">
        <v>174.51</v>
      </c>
      <c r="AK16" s="13">
        <v>173.91</v>
      </c>
      <c r="AL16" s="13">
        <v>177.1</v>
      </c>
      <c r="AM16" s="13">
        <v>178.24</v>
      </c>
      <c r="AN16" s="13">
        <v>176.52</v>
      </c>
      <c r="AO16" s="13">
        <v>178.27</v>
      </c>
      <c r="AP16" s="13">
        <v>175.29</v>
      </c>
      <c r="AQ16" s="13">
        <v>175.34</v>
      </c>
      <c r="AR16" s="13">
        <v>174.41</v>
      </c>
      <c r="AS16" s="13">
        <v>176.22</v>
      </c>
      <c r="AT16" s="13">
        <v>174</v>
      </c>
      <c r="AU16" s="13">
        <v>176.35</v>
      </c>
      <c r="AV16" s="13">
        <v>177.71</v>
      </c>
      <c r="AW16" s="13">
        <v>180.08</v>
      </c>
      <c r="AX16" s="13">
        <v>181.96</v>
      </c>
      <c r="AY16" s="13">
        <v>182.9</v>
      </c>
      <c r="AZ16" s="13">
        <v>181.86</v>
      </c>
      <c r="BA16" s="29">
        <v>182.56</v>
      </c>
      <c r="BB16" s="13">
        <v>181.07</v>
      </c>
      <c r="BC16" s="13">
        <v>182.56</v>
      </c>
      <c r="BD16" s="29">
        <v>182.56</v>
      </c>
      <c r="BE16" s="13">
        <v>178.86</v>
      </c>
      <c r="BF16" s="13">
        <v>180.16</v>
      </c>
      <c r="BG16" s="13">
        <v>179.56</v>
      </c>
      <c r="BH16" s="13">
        <v>176.55</v>
      </c>
      <c r="BI16" s="13">
        <f t="shared" si="0"/>
        <v>673.09559999999999</v>
      </c>
      <c r="BJ16" s="13">
        <f t="shared" si="2"/>
        <v>551.19000000000005</v>
      </c>
      <c r="BK16" s="13">
        <f t="shared" si="6"/>
        <v>-121.90559999999994</v>
      </c>
      <c r="BL16" s="13">
        <f>((AZ16-H16)/H16)*100</f>
        <v>-1.0177978555488905</v>
      </c>
      <c r="BM16">
        <v>1864</v>
      </c>
      <c r="BN16">
        <v>177.19</v>
      </c>
      <c r="BO16" s="15">
        <f t="shared" si="7"/>
        <v>-121.90559999999998</v>
      </c>
    </row>
    <row r="17" spans="1:67" ht="45" customHeight="1" thickBot="1" x14ac:dyDescent="0.3">
      <c r="A17" s="1">
        <v>5134135</v>
      </c>
      <c r="B17" s="17">
        <f>GEMINI!L17</f>
        <v>161.5</v>
      </c>
      <c r="C17" s="17">
        <f>GEMINI!M17</f>
        <v>201.25</v>
      </c>
      <c r="D17" s="6" t="str">
        <f>IF(I17&lt;GEMINI!L17,"למכור בהפסד",IF(I17&gt;GEMINI!M17,"למכור ברווח","לשמור"))</f>
        <v>לשמור</v>
      </c>
      <c r="E17" s="5" t="s">
        <v>80</v>
      </c>
      <c r="F17" s="4">
        <v>46021</v>
      </c>
      <c r="G17" s="27">
        <v>600</v>
      </c>
      <c r="H17" s="13">
        <v>159.65</v>
      </c>
      <c r="I17" s="13">
        <v>182.59</v>
      </c>
      <c r="J17" s="13">
        <v>178.98</v>
      </c>
      <c r="K17" s="13">
        <v>178.98</v>
      </c>
      <c r="L17" s="13">
        <v>178.98</v>
      </c>
      <c r="M17" s="13">
        <v>170.7</v>
      </c>
      <c r="N17" s="13">
        <v>170.7</v>
      </c>
      <c r="O17" s="13">
        <v>170.7</v>
      </c>
      <c r="P17" s="13">
        <v>170.45</v>
      </c>
      <c r="Q17" s="13">
        <v>160.84</v>
      </c>
      <c r="R17" s="13">
        <v>160.84</v>
      </c>
      <c r="S17" s="13">
        <v>160.84</v>
      </c>
      <c r="T17" s="13">
        <v>159.02000000000001</v>
      </c>
      <c r="U17" s="13">
        <v>159.65</v>
      </c>
      <c r="V17" s="13">
        <v>159.65</v>
      </c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29"/>
      <c r="BB17" s="13"/>
      <c r="BC17" s="13"/>
      <c r="BD17" s="29"/>
      <c r="BE17" s="13"/>
      <c r="BF17" s="13"/>
      <c r="BG17" s="13"/>
      <c r="BH17" s="13"/>
      <c r="BI17" s="13">
        <f t="shared" si="0"/>
        <v>957.9</v>
      </c>
      <c r="BJ17" s="13">
        <f t="shared" si="2"/>
        <v>957.9</v>
      </c>
      <c r="BK17" s="13">
        <f t="shared" ref="BK17" si="8">(BJ17-BI17)</f>
        <v>0</v>
      </c>
      <c r="BL17" s="13">
        <f>((AZ17-H17)/H17)*100</f>
        <v>-100</v>
      </c>
      <c r="BO17" s="15">
        <f t="shared" si="7"/>
        <v>0</v>
      </c>
    </row>
    <row r="18" spans="1:67" ht="45" customHeight="1" thickBot="1" x14ac:dyDescent="0.3">
      <c r="A18" s="1">
        <v>1168723</v>
      </c>
      <c r="B18" s="17">
        <f>GEMINI!L18</f>
        <v>1455.5</v>
      </c>
      <c r="C18" s="17">
        <f>GEMINI!M18</f>
        <v>1863</v>
      </c>
      <c r="D18" s="6" t="str">
        <f>IF(I18&lt;GEMINI!L18,"למכור בהפסד",IF(I18&gt;GEMINI!M18,"למכור ברווח","לשמור"))</f>
        <v>לשמור</v>
      </c>
      <c r="E18" s="5" t="s">
        <v>76</v>
      </c>
      <c r="F18" s="4">
        <v>46019</v>
      </c>
      <c r="G18" s="27">
        <v>45</v>
      </c>
      <c r="H18" s="13">
        <v>1434</v>
      </c>
      <c r="I18" s="13">
        <v>1740</v>
      </c>
      <c r="J18" s="13">
        <v>1698</v>
      </c>
      <c r="K18" s="13">
        <v>1694</v>
      </c>
      <c r="L18" s="13">
        <v>1671</v>
      </c>
      <c r="M18" s="13">
        <v>1660</v>
      </c>
      <c r="N18" s="13">
        <v>1660</v>
      </c>
      <c r="O18" s="13">
        <v>1646</v>
      </c>
      <c r="P18" s="13">
        <v>1648</v>
      </c>
      <c r="Q18" s="13">
        <v>1614</v>
      </c>
      <c r="R18" s="13">
        <v>1626</v>
      </c>
      <c r="S18" s="13">
        <v>1587</v>
      </c>
      <c r="T18" s="13">
        <v>1548</v>
      </c>
      <c r="U18" s="13">
        <v>1500</v>
      </c>
      <c r="V18" s="13">
        <v>1491</v>
      </c>
      <c r="W18" s="13">
        <v>1444</v>
      </c>
      <c r="X18" s="13">
        <v>1431</v>
      </c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>
        <v>1788</v>
      </c>
      <c r="AZ18" s="13">
        <v>1788</v>
      </c>
      <c r="BA18" s="29">
        <v>1780</v>
      </c>
      <c r="BB18" s="13">
        <v>1814</v>
      </c>
      <c r="BC18" s="13">
        <v>1794</v>
      </c>
      <c r="BD18" s="29">
        <v>1780</v>
      </c>
      <c r="BE18" s="13">
        <v>1772</v>
      </c>
      <c r="BF18" s="13">
        <v>1798</v>
      </c>
      <c r="BG18" s="13">
        <v>1806</v>
      </c>
      <c r="BH18" s="13">
        <v>1801</v>
      </c>
      <c r="BI18" s="13">
        <f t="shared" si="0"/>
        <v>292.79999999999995</v>
      </c>
      <c r="BJ18" s="13">
        <f t="shared" si="2"/>
        <v>645.29999999999995</v>
      </c>
      <c r="BK18" s="13">
        <f t="shared" si="6"/>
        <v>352.5</v>
      </c>
      <c r="BL18" s="13">
        <f>((AZ18-H18)/H18)*100</f>
        <v>24.686192468619247</v>
      </c>
      <c r="BM18">
        <v>100</v>
      </c>
      <c r="BN18">
        <v>1786.5</v>
      </c>
      <c r="BO18" s="15">
        <f t="shared" si="7"/>
        <v>352.5</v>
      </c>
    </row>
    <row r="19" spans="1:67" ht="45" customHeight="1" thickBot="1" x14ac:dyDescent="0.3">
      <c r="A19" s="1">
        <v>1146604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 t="s">
        <v>75</v>
      </c>
      <c r="F19" s="4">
        <v>46016</v>
      </c>
      <c r="G19" s="27">
        <v>0</v>
      </c>
      <c r="H19" s="13">
        <v>6548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>
        <v>6461</v>
      </c>
      <c r="U19" s="13">
        <v>6503</v>
      </c>
      <c r="V19" s="13">
        <v>6535</v>
      </c>
      <c r="W19" s="13">
        <v>6532</v>
      </c>
      <c r="X19" s="13">
        <v>6515</v>
      </c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29"/>
      <c r="BB19" s="13"/>
      <c r="BC19" s="13"/>
      <c r="BD19" s="29"/>
      <c r="BE19" s="13"/>
      <c r="BF19" s="13"/>
      <c r="BG19" s="13"/>
      <c r="BH19" s="13"/>
      <c r="BI19" s="13">
        <f t="shared" si="0"/>
        <v>0</v>
      </c>
      <c r="BJ19" s="13">
        <f t="shared" si="2"/>
        <v>0</v>
      </c>
      <c r="BK19" s="13"/>
      <c r="BL19" s="13"/>
      <c r="BM19">
        <v>7</v>
      </c>
      <c r="BN19">
        <v>6461</v>
      </c>
      <c r="BO19" s="15"/>
    </row>
    <row r="20" spans="1:67" ht="45" customHeight="1" thickBot="1" x14ac:dyDescent="0.3">
      <c r="A20" s="1">
        <v>1144807</v>
      </c>
      <c r="B20" s="17">
        <f>GEMINI!L12</f>
        <v>22573</v>
      </c>
      <c r="C20" s="17">
        <f>GEMINI!M12</f>
        <v>27485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>
        <v>3159</v>
      </c>
      <c r="J20" s="13">
        <v>3159</v>
      </c>
      <c r="K20" s="13">
        <v>3159</v>
      </c>
      <c r="L20" s="13">
        <v>3159</v>
      </c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29"/>
      <c r="BB20" s="13"/>
      <c r="BC20" s="13"/>
      <c r="BD20" s="29"/>
      <c r="BE20" s="13"/>
      <c r="BF20" s="13"/>
      <c r="BG20" s="13"/>
      <c r="BH20" s="13"/>
      <c r="BI20" s="13">
        <f>(G20*H20)/100-BO20</f>
        <v>0</v>
      </c>
      <c r="BJ20" s="13">
        <f>(G20*H20)/100</f>
        <v>0</v>
      </c>
      <c r="BK20" s="13"/>
      <c r="BL20" s="13"/>
      <c r="BO20" s="15"/>
    </row>
    <row r="21" spans="1:67" ht="15.75" thickBot="1" x14ac:dyDescent="0.3"/>
    <row r="22" spans="1:67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29"/>
      <c r="BB22" s="13"/>
      <c r="BC22" s="13"/>
      <c r="BD22" s="29"/>
      <c r="BE22" s="13"/>
      <c r="BF22" s="13"/>
      <c r="BG22" s="13"/>
      <c r="BH22" s="13"/>
      <c r="BI22" s="13"/>
      <c r="BJ22" s="13"/>
      <c r="BK22" s="13"/>
      <c r="BL22" s="13"/>
      <c r="BO22" s="15"/>
    </row>
    <row r="23" spans="1:67" ht="54.95" customHeight="1" thickBot="1" x14ac:dyDescent="0.3">
      <c r="A23" s="1"/>
      <c r="B23" s="2"/>
      <c r="C23" s="2"/>
      <c r="D23" s="2"/>
      <c r="E23" s="3"/>
      <c r="F23" s="4"/>
      <c r="G23" s="27"/>
      <c r="H23" s="13"/>
      <c r="I23" s="23">
        <f>(G2*I2+G3*I3+G4*I4+G5*I5+G6*I6+G7*I7+G8*I8+I9*G9+G10*I10+I11*G11+G12*I12+G13*I13+G14*I14+I15*G15+I16*G16+G17*I17+G18*I18+G19*I19)/100</f>
        <v>15932.809600000001</v>
      </c>
      <c r="J23" s="23">
        <f>(J2*G2+G3*J3+J4*G4+G5*J5+G6*J6+G7*J7+G8*J8+G9*J9+G10*J10+G11*J11+G12*J12+J13*G13+G14*J14+J15*G15+G16*J16+G17*J17+J18*G18+G19*J19)/100</f>
        <v>15830.18</v>
      </c>
      <c r="K23" s="23">
        <f>(K2*G2+G3*K3+K4*G4+G5*K5+G6*K6+G7*K7+G8*K8+G9*K9+G10*K10+G11*K11+G12*K12+K13*G13+G14*K14+K15*G15+G16*K16+G17*K17+K18*G18+G19*K19)/100</f>
        <v>15847.579599999999</v>
      </c>
      <c r="L23" s="23">
        <f>(L3*G3+G4*L4+L5*G5+G6*L6+G7*L7+G8*L8+G9*L9+G10*L10+G11*L11+G12*L12+G14*L14+L15*G15+G16*L16+L17*G17+G18*L18+G19*L19)/100</f>
        <v>14182.84</v>
      </c>
      <c r="M23" s="23">
        <f>(M3*G3+G4*M4+M5*G5+G6*M6+G7*M7+G8*M8+G9*M9+G10*M10+G11*M11+G12*M12+G14*M14+M15*G15+G16*M16+M17*G17+G18*M18+G19*M19)/100</f>
        <v>13920.8496</v>
      </c>
      <c r="N23" s="23">
        <f>(N3*G3+G4*N4+N5*G5+G6*N6+G7*N7+G8*N8+G9*N9+G10*N10+G11*N11+G12*N12+G14*N14+N15*G15+G16*N16+N17*G17+G18*N18+G19*N19)/100</f>
        <v>13937.149599999999</v>
      </c>
      <c r="O23" s="23">
        <f>(O3*G3+G4*O4+O5*G5+G6*O6+G7*O7+G8*O8+G9*O9+G10*O10+G11*O11+G12*O12+G14*O14+O15*G15+G16*O16+O17*G17+G18*O18+G19*O19)/100</f>
        <v>13948.6896</v>
      </c>
      <c r="P23" s="23">
        <f>(P3*G3+G4*P4+P5*G5+G6*P6+G7*P7+G8*P8+G9*P9+G10*P10+G11*P11+G12*P12+G14*P14+P15*G15+G16*P16+P17*G17+G18*P18+G19*P19)/100</f>
        <v>13407.56</v>
      </c>
      <c r="Q23" s="23">
        <f>(Q3*G3+G4*Q4+Q5*G5+G6*Q6+G7*Q7+G8*Q8+G9*Q9+G10*Q10+G11*Q11+G12*Q12+G14*Q14+Q15*G15+G16*Q16+Q17*G17+G18*Q18+G19*Q19)/100</f>
        <v>13214.874599999999</v>
      </c>
      <c r="R23" s="23">
        <f>(R3*G3+G4*R4+R5*G5+G6*R6+G7*R7+G8*R8+G9*R9+G10*R10+G11*R11+G12*R12+G14*R14+R15*G15+G16*R16+R17*G17+G18*R18+G19*R19)/100</f>
        <v>11573.809600000001</v>
      </c>
      <c r="S23" s="23">
        <f>(S5*G5+G6*S6+S7*G7+G8*S8+G9*S9+G10*S10+G11*S11+G12*S12+G14*S14+G20*S20+G15*S15+S16*G16+G17*S17+S18*G18+G19*S19)/100</f>
        <v>10674.919599999999</v>
      </c>
      <c r="T23" s="23" t="e">
        <f>(T5*G5+G7*T7+T8*G8+G9*T9+#REF!*#REF!+G10*T10+G11*T11+G12*T12+G14*T14+G19*T19+G20*T20+T6*G6+G15*T15+#REF!*#REF!+G16*T16+G17*T17+T18*G18+#REF!*#REF!+#REF!*#REF!+#REF!*#REF!+#REF!*#REF!+#REF!*#REF!+#REF!*#REF!+G3*T3+#REF!*#REF!)/100</f>
        <v>#REF!</v>
      </c>
      <c r="U23" s="23" t="e">
        <f>(U5*G5+G7*U7+U8*G8+G9*U9+#REF!*#REF!+G10*U10+G11*U11+G12*U12+G14*U14+G19*U19+G20*U20+U6*G6+G15*U15+#REF!*#REF!+G16*U16+G17*U17+U18*G18+#REF!*#REF!+#REF!*#REF!+#REF!*#REF!+#REF!*#REF!+#REF!*#REF!+#REF!*#REF!+G3*U3+#REF!*#REF!)/100</f>
        <v>#REF!</v>
      </c>
      <c r="V23" s="23" t="e">
        <f>(V5*G5+G7*V7+V8*G8+G9*V9+#REF!*#REF!+G10*V10+G11*V11+G12*V12+G14*V14+G19*V19+G20*V20+V6*G6+G15*V15+#REF!*#REF!+G16*V16+G17*V17+V18*G18+#REF!*#REF!+#REF!*#REF!+#REF!*#REF!+#REF!*#REF!+#REF!*#REF!+#REF!*#REF!+G3*V3+#REF!*#REF!)/100</f>
        <v>#REF!</v>
      </c>
      <c r="W23" s="23" t="e">
        <f>(W5*G5+G7*W7+W8*G8+G9*W9+#REF!*#REF!+G10*W10+G11*W11+G12*W12+G14*W14+G19*W19+G20*W20+W6*G6+G15*W15+#REF!*#REF!+G16*W16+G18*W18+#REF!*#REF!+#REF!*#REF!+#REF!*#REF!+#REF!*#REF!+#REF!*#REF!+#REF!*#REF!+G3*W3+#REF!*#REF!+G4*W4)/100</f>
        <v>#REF!</v>
      </c>
      <c r="X23" s="23" t="e">
        <f>(#REF!*#REF!+#REF!*#REF!+X3*G3+#REF!*#REF!+G4*X4+G5*X5+G7*X7+G8*X8+G9*X9+#REF!*#REF!+G10*X10+X11*G11+G12*X12+X14*G14+#REF!*#REF!+#REF!*#REF!+#REF!*#REF!+#REF!*#REF!+G20*X20+X6*G6+#REF!*#REF!+G16*X16+G18*X18+G19*X19)/100</f>
        <v>#REF!</v>
      </c>
      <c r="Y23" s="23" t="e">
        <f>(#REF!*#REF!+#REF!*#REF!+Y3*G3+#REF!*#REF!+G4*Y4+G5*Y5+G7*Y7+G8*Y8+G9*Y9+#REF!*#REF!+G10*Y10+Y11*G11+G12*Y12+Y14*G14+#REF!*#REF!+#REF!*#REF!+#REF!*#REF!+#REF!*#REF!+G20*Y20+Y6*G6+#REF!*#REF!+G16*Y16+G18*Y18+G19*Y19)/100</f>
        <v>#REF!</v>
      </c>
      <c r="Z23" s="23" t="e">
        <f>(#REF!*#REF!+#REF!*#REF!+Z3*G3+#REF!*#REF!+G4*Z4+G5*Z5+Z7*G7+Z8*G8+Z9*G9+#REF!*#REF!+G10*Z10+Z11*G11+G12*Z12+Z14*G14+#REF!*#REF!+#REF!*#REF!+#REF!*#REF!+#REF!*#REF!+G20*Z20+G6*Z6+#REF!*#REF!+G16*Z16+G18*Z18)/100</f>
        <v>#REF!</v>
      </c>
      <c r="AA23" s="23" t="e">
        <f>(#REF!*#REF!+#REF!*#REF!+AA3*G3+#REF!*#REF!+G4*AA4+G5*AA5+AA7*G7+AA8*G8+AA9*G9+#REF!*#REF!+G10*AA10+AA11*G11+G12*AA12+AA14*G14+#REF!*#REF!+#REF!*#REF!+#REF!*#REF!+#REF!*#REF!+G20*AA20+G6*AA6+#REF!*#REF!+G16*AA16+G18*AA18)/100</f>
        <v>#REF!</v>
      </c>
      <c r="AB23" s="23" t="e">
        <f>(#REF!*#REF!+#REF!*#REF!+AB3*G3+#REF!*#REF!+G4*AB4+G8*AB8+AB9*G9+#REF!*#REF!+AB10*G10+G11*AB11+G14*AB14+#REF!*#REF!+#REF!*#REF!+#REF!*#REF!+#REF!*#REF!+G6*AB6+#REF!*#REF!+G16*AB16+G18*AB18+G7*AB7+G5*AB5+G12*AB12+G20*AB20)/100</f>
        <v>#REF!</v>
      </c>
      <c r="AC23" s="23" t="e">
        <f>(#REF!*#REF!+#REF!*#REF!+AC3*G3+#REF!*#REF!+G4*AC4+G8*AC8+AC9*G9+#REF!*#REF!+AC10*G10+G11*AC11+G14*AC14+#REF!*#REF!+#REF!*#REF!+#REF!*#REF!+#REF!*#REF!+G6*AC6+#REF!*#REF!+G16*AC16+G18*AC18)/100</f>
        <v>#REF!</v>
      </c>
      <c r="AD23" s="23" t="e">
        <f>(#REF!*#REF!+#REF!*#REF!+AD3*G3+#REF!*#REF!+G4*AD4+G8*AD8+G9*AD9+#REF!*#REF!+G10*AD10+AD11*G11+AD14*G14+#REF!*#REF!+#REF!*#REF!+#REF!*#REF!+#REF!*#REF!+AD6*G6+#REF!*#REF!+G16*AD16+G18*AD18+G19*AD19)/100</f>
        <v>#REF!</v>
      </c>
      <c r="AE23" s="23" t="e">
        <f>(#REF!*#REF!+#REF!*#REF!+AE3*G3+#REF!*#REF!+G4*AE4+G8*AE8+AE9*G9+#REF!*#REF!+AE10*G10+G11*AE11+G14*AE14+#REF!*#REF!+#REF!*#REF!+#REF!*#REF!+#REF!*#REF!+G6*AE6+#REF!*#REF!+G16*AE16+G18*AE18)/100</f>
        <v>#REF!</v>
      </c>
      <c r="AF23" s="23" t="e">
        <f>(#REF!*#REF!+#REF!*#REF!+AF3*G3+#REF!*#REF!+G4*AF4+G8*AF8+AF9*G9+#REF!*#REF!+AF10*G10+G11*AF11+G14*AF14+#REF!*#REF!+#REF!*#REF!+#REF!*#REF!+#REF!*#REF!+G6*AF6+#REF!*#REF!+G16*AF16+G18*AF18)/100</f>
        <v>#REF!</v>
      </c>
      <c r="AG23" s="23" t="e">
        <f>(#REF!*#REF!+#REF!*#REF!+AG3*G3+#REF!*#REF!+G4*AG4+G8*AG8+AG9*G9+AG10*G10+AG11*G11+G14*AG14+#REF!*#REF!+#REF!*#REF!+#REF!*#REF!+#REF!*#REF!+G6*AG6+#REF!*#REF!+G16*AG16+G18*AG18+G19*AG19)/100</f>
        <v>#REF!</v>
      </c>
      <c r="AH23" s="23" t="e">
        <f>(#REF!*#REF!+#REF!*#REF!+AH3*G3+#REF!*#REF!+G4*AH4+G8*AH8+AH9*G9+AH10*G10+AH11*G11+G14*AH14+#REF!*#REF!+#REF!*#REF!+#REF!*#REF!+#REF!*#REF!+G6*AH6+#REF!*#REF!+G16*AH16+G18*AH18+G19*AH19)/100</f>
        <v>#REF!</v>
      </c>
      <c r="AI23" s="23" t="e">
        <f>(#REF!*#REF!+#REF!*#REF!+AI3*G3+#REF!*#REF!+G4*AI4+G8*AI8+AI9*G9+AI10*G10+AI11*G11+G14*AI14+#REF!*#REF!+#REF!*#REF!+#REF!*#REF!+#REF!*#REF!+G6*AI6+#REF!*#REF!+G16*AI16+G18*AI18+G19*AI19)/100</f>
        <v>#REF!</v>
      </c>
      <c r="AJ23" s="23" t="e">
        <f>(#REF!*#REF!+#REF!*#REF!+AJ3*G3+#REF!*#REF!+G4*AJ4+G8*AJ8+AJ9*G9+AJ10*G10+AJ11*G11+G14*AJ14+#REF!*#REF!+#REF!*#REF!+#REF!*#REF!+#REF!*#REF!+G6*AJ6+#REF!*#REF!+G16*AJ16+G18*AJ18+G19*AJ19)/100</f>
        <v>#REF!</v>
      </c>
      <c r="AK23" s="23" t="e">
        <f>(#REF!*#REF!+#REF!*#REF!+AK3*G3+#REF!*#REF!+G4*AK4+G8*AK8+AK9*G9+AK10*G10+AK11*G11+G14*AK14+#REF!*#REF!+#REF!*#REF!+#REF!*#REF!+#REF!*#REF!+G6*AK6+#REF!*#REF!+G16*AK16+G18*AK18+G19*AK19)/100</f>
        <v>#REF!</v>
      </c>
      <c r="AL23" s="23" t="e">
        <f>(#REF!*#REF!+#REF!*#REF!+AL3*G3+#REF!*#REF!+G4*AL4+G8*AL8+AL9*G9+AL10*G10+AL11*G11+G14*AL14+#REF!*#REF!+#REF!*#REF!+#REF!*#REF!+#REF!*#REF!+G6*AL6+#REF!*#REF!+G16*AL16+G18*AL18)/100</f>
        <v>#REF!</v>
      </c>
      <c r="AM23" s="23" t="e">
        <f>(#REF!*#REF!+#REF!*#REF!+AM3*G3+#REF!*#REF!+G4*AM4+G8*AM8+AM10*G10+AM11*G11+G14*AM14+#REF!*#REF!+#REF!*#REF!+#REF!*#REF!+#REF!*#REF!+G6*AM6+#REF!*#REF!+G16*AM16+G18*AM18)/100</f>
        <v>#REF!</v>
      </c>
      <c r="AN23" s="23" t="e">
        <f>(#REF!*#REF!+#REF!*#REF!+AN3*G3+#REF!*#REF!+G4*AN4+G8*AN8+G10*AN10+AN11*G11+AN14*G14+#REF!*#REF!+#REF!*#REF!+#REF!*#REF!+#REF!*#REF!+AN6*G6+#REF!*#REF!+G16*AN16+G18*AN18+G19*AN19)/100</f>
        <v>#REF!</v>
      </c>
      <c r="AO23" s="23" t="e">
        <f>(#REF!*#REF!+#REF!*#REF!+AO3*G3+#REF!*#REF!+G4*AO4+G10*AO10+AO11*G11+AO14*G14+#REF!*#REF!+#REF!*#REF!+#REF!*#REF!+#REF!*#REF!+AO6*G6+#REF!*#REF!+G16*AO16+G18*AO18+G19*AO19)/100</f>
        <v>#REF!</v>
      </c>
      <c r="AP23" s="23" t="e">
        <f>(#REF!*#REF!+#REF!*#REF!+AP3*G3+#REF!*#REF!+G4*AP4+G10*AP10+AP11*G11+AP14*G14+#REF!*#REF!+#REF!*#REF!+#REF!*#REF!+#REF!*#REF!+AP6*G6+#REF!*#REF!+G16*AP16+G18*AP18+G19*AP19)/100</f>
        <v>#REF!</v>
      </c>
      <c r="AQ23" s="23" t="e">
        <f>(#REF!*#REF!+#REF!*#REF!+AQ3*G3+#REF!*#REF!+G4*AQ4+G10*AQ10+AQ11*G11+AQ14*G14+#REF!*#REF!+#REF!*#REF!+#REF!*#REF!+#REF!*#REF!+AQ6*G6+#REF!*#REF!+G16*AQ16+G18*AQ18+G19*AQ19)/100</f>
        <v>#REF!</v>
      </c>
      <c r="AR23" s="23" t="e">
        <f>(#REF!*#REF!+#REF!*#REF!+AR3*G3+#REF!*#REF!+G4*AR4+G10*AR10+AR11*G11+AR14*G14+#REF!*#REF!+#REF!*#REF!+#REF!*#REF!+#REF!*#REF!+AR6*G6+G16*AR16+G18*AR18+G19*AR19)/100</f>
        <v>#REF!</v>
      </c>
      <c r="AS23" s="23" t="e">
        <f>(#REF!*#REF!+#REF!*#REF!+AS3*G3+#REF!*#REF!+G4*AS4+G10*AS10+AS11*G11+AS14*G14+#REF!*#REF!+#REF!*#REF!+#REF!*#REF!+#REF!*#REF!+AS6*G6+G16*AS16+G18*AS18+G19*AS19)/100</f>
        <v>#REF!</v>
      </c>
      <c r="AT23" s="23" t="e">
        <f>(#REF!*#REF!+#REF!*#REF!+AT3*G3+#REF!*#REF!+G4*AT4+G10*AT10+AT11*G11+AT14*G14+#REF!*#REF!+#REF!*#REF!+#REF!*#REF!+#REF!*#REF!+AT6*G6+G16*AT16+G18*AT18+G19*AT19)/100</f>
        <v>#REF!</v>
      </c>
      <c r="AU23" s="23" t="e">
        <f>(#REF!*#REF!+#REF!*#REF!+AU3*G3+#REF!*#REF!+G4*AU4+G10*AU10+AU11*G11+AU14*G14+#REF!*#REF!+#REF!*#REF!+#REF!*#REF!+#REF!*#REF!+AU6*G6+G16*AU16+G18*AU18+G19*AU19)/100</f>
        <v>#REF!</v>
      </c>
      <c r="AV23" s="23" t="e">
        <f>(#REF!*#REF!+#REF!*#REF!+AV3*G3+#REF!*#REF!+G4*AV4+G10*AV10+AV11*G11+AV14*G14+#REF!*#REF!+#REF!*#REF!+#REF!*#REF!+#REF!*#REF!+AV6*G6+G16*AV16+G18*AV18+G19*AV19)/100</f>
        <v>#REF!</v>
      </c>
      <c r="AW23" s="23" t="e">
        <f>(#REF!*#REF!+#REF!*#REF!+AW3*G3+#REF!*#REF!+G4*AW4+G10*AW10+AW11*G11+AW14*G14+#REF!*#REF!+#REF!*#REF!+#REF!*#REF!+#REF!*#REF!+AW6*G6+G16*AW16+G18*AW18+G19*AW19)/100</f>
        <v>#REF!</v>
      </c>
      <c r="AX23" s="23" t="e">
        <f>(#REF!*#REF!+#REF!*#REF!+AX3*G3+#REF!*#REF!+G4*AX4+G10*AX10+AX11*G11+AX14*G14+#REF!*#REF!+#REF!*#REF!+#REF!*#REF!+#REF!*#REF!+AX6*G6+G16*AX16+G18*AX18+G19*AX19)/100</f>
        <v>#REF!</v>
      </c>
      <c r="AY23" s="23" t="e">
        <f>(#REF!*#REF!+#REF!*#REF!+AY3*G3+#REF!*#REF!+G4*AY4+G10*AY10+G11*AY11+G14*AY14+#REF!*#REF!+#REF!*#REF!+#REF!*#REF!+#REF!*#REF!+G6*AY6+AY16*G16+G18*AY18+G19*AY19)/100</f>
        <v>#REF!</v>
      </c>
      <c r="AZ23" s="23" t="e">
        <f>(#REF!*#REF!+#REF!*#REF!+AZ3*G3+#REF!*#REF!+G4*AZ4+G10*AZ10+G14*AZ14+#REF!*#REF!+#REF!*#REF!+#REF!*#REF!+#REF!*#REF!+G6*AZ6+AZ16*G16+G18*AZ18+G19*AZ19)/100</f>
        <v>#REF!</v>
      </c>
      <c r="BA23" s="23" t="e">
        <f>(#REF!*#REF!+BA3*G3+G4*BA4+G14*BA14+#REF!*#REF!+#REF!*#REF!+#REF!*#REF!+#REF!*#REF!+G6*BA6+BA16*G16+G18*BA18+G19*BA19+G22*BA22+#REF!*#REF!+#REF!*#REF!)/100</f>
        <v>#REF!</v>
      </c>
      <c r="BB23" s="23" t="e">
        <f>(#REF!*#REF!+BB3*G3+G4*BB4+G14*BB14+#REF!*#REF!+#REF!*#REF!+#REF!*#REF!+#REF!*#REF!+G6*BB6+BB16*G16+G18*BB18+G19*BB19+G22*BB22+#REF!*#REF!+#REF!*#REF!)/100</f>
        <v>#REF!</v>
      </c>
      <c r="BC23" s="23" t="e">
        <f>(#REF!*#REF!+BC3*G3+G4*BC4+G14*BC14+#REF!*#REF!+#REF!*#REF!+#REF!*#REF!+#REF!*#REF!+G6*BC6+BC16*G16+G18*BC18+G19*BC19+G22*BC22+#REF!*#REF!+#REF!*#REF!)/100</f>
        <v>#REF!</v>
      </c>
      <c r="BD23" s="30" t="e">
        <f>(#REF!*#REF!+BD3*G3+G4*BD4+G14*BD14+#REF!*#REF!+#REF!*#REF!+#REF!*#REF!+#REF!*#REF!+G6*BD6+BD16*G16+G18*BD18+G19*BD19+G22*BD22+#REF!*#REF!+#REF!*#REF!)/100</f>
        <v>#REF!</v>
      </c>
      <c r="BE23" s="23" t="e">
        <f>(#REF!*#REF!+BE3*G3+G4*BE4+G14*BE14+#REF!*#REF!+#REF!*#REF!+#REF!*#REF!+#REF!*#REF!+G6*BE6+BE16*G16+G18*BE18+G19*BE19+G22*BE22+#REF!*#REF!+#REF!*#REF!)/100</f>
        <v>#REF!</v>
      </c>
      <c r="BF23" s="23" t="e">
        <f>(#REF!*#REF!+BF3*G3+G14*BF14+#REF!*#REF!+#REF!*#REF!+#REF!*#REF!+#REF!*#REF!+G6*BF6+BF16*G16+G18*BF18+G19*BF19+G22*BF22+#REF!*#REF!+#REF!*#REF!)/100</f>
        <v>#REF!</v>
      </c>
      <c r="BG23" s="23" t="e">
        <f>(#REF!*#REF!+BG3*G3+G14*BG14+#REF!*#REF!+#REF!*#REF!+#REF!*#REF!+#REF!*#REF!+G6*BG6+BG16*G16+G18*BG18+G19*BG19+G22*BG22+#REF!*#REF!+#REF!*#REF!)/100</f>
        <v>#REF!</v>
      </c>
      <c r="BH23" s="23" t="e">
        <f>(#REF!*#REF!+BH3*G3+G14*BH14+#REF!*#REF!+#REF!*#REF!+#REF!*#REF!+#REF!*#REF!+G6*BH6+BH16*G16+G18*BH18+G19*BH19+G22*BH22+#REF!*#REF!+#REF!*#REF!)/100</f>
        <v>#REF!</v>
      </c>
      <c r="BI23" s="13"/>
      <c r="BJ23" s="13"/>
      <c r="BK23" s="13"/>
      <c r="BL23" s="13"/>
      <c r="BO23" s="15">
        <v>434.9</v>
      </c>
    </row>
    <row r="24" spans="1:67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23">
        <f>SUM(BI3:BI20)</f>
        <v>13018.293100000001</v>
      </c>
      <c r="BJ24" s="23">
        <f>SUM(BJ3:BJ20)</f>
        <v>13575.721300000001</v>
      </c>
      <c r="BK24" s="24">
        <f>BJ24-BI24</f>
        <v>557.42820000000029</v>
      </c>
      <c r="BL24" s="13">
        <f>((BJ24-BI24)/BI24)*100</f>
        <v>4.2818839283930412</v>
      </c>
      <c r="BO24" s="15">
        <f>SUM(BO5:BO23)</f>
        <v>992.32819999999981</v>
      </c>
    </row>
    <row r="25" spans="1:67" x14ac:dyDescent="0.25">
      <c r="BI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7" workbookViewId="0">
      <selection activeCell="A12" sqref="A12:D1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/>
      <c r="F2" s="17"/>
      <c r="G2" s="17"/>
      <c r="I2" s="13">
        <f>'התיק העדכני'!I2</f>
        <v>10700</v>
      </c>
      <c r="J2" s="25"/>
      <c r="L2" s="32"/>
      <c r="M2" s="32"/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55</v>
      </c>
      <c r="E3" s="16">
        <v>950</v>
      </c>
      <c r="F3" s="16">
        <v>1200</v>
      </c>
      <c r="G3" s="17"/>
      <c r="I3" s="13">
        <f>'התיק העדכני'!I3</f>
        <v>1316</v>
      </c>
      <c r="J3" s="26"/>
      <c r="L3" s="21">
        <f>(E3+CHATGPT!E3+PERPLIXITY!E3+DEEPSEEK!E3)/4</f>
        <v>962</v>
      </c>
      <c r="M3" s="21">
        <f>(F3+CHATGPT!F3+PERPLIXITY!F3+DEEPSEEK!F3)/4</f>
        <v>1273.75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5925</v>
      </c>
      <c r="F4" s="16">
        <v>6600</v>
      </c>
      <c r="G4" s="17"/>
      <c r="I4" s="13">
        <f>'התיק העדכני'!I4</f>
        <v>6060</v>
      </c>
      <c r="J4" s="26"/>
      <c r="L4" s="21">
        <f>(E4+CHATGPT!E4+PERPLIXITY!E4+DEEPSEEK!E4)/4</f>
        <v>5621</v>
      </c>
      <c r="M4" s="21">
        <f>(F4+CHATGPT!F4+PERPLIXITY!F4+DEEPSEEK!F4)/4</f>
        <v>6701.5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525.71</v>
      </c>
      <c r="D5" s="19">
        <f>'התיק העדכני'!G5</f>
        <v>0</v>
      </c>
      <c r="E5" s="16">
        <v>650</v>
      </c>
      <c r="F5" s="16">
        <v>800</v>
      </c>
      <c r="I5" s="13">
        <f>'התיק העדכני'!I5</f>
        <v>595.4</v>
      </c>
      <c r="J5" s="26"/>
      <c r="L5" s="21">
        <f>(E5+CHATGPT!E5+PERPLIXITY!E5+DEEPSEEK!E5)/4</f>
        <v>601</v>
      </c>
      <c r="M5" s="21">
        <f>(F5+CHATGPT!F5+PERPLIXITY!F5+DEEPSEEK!F5)/4</f>
        <v>772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4400</v>
      </c>
      <c r="I6" s="13">
        <f>'התיק העדכני'!I6</f>
        <v>3931</v>
      </c>
      <c r="J6" s="26"/>
      <c r="L6" s="21">
        <f>(E6+CHATGPT!E6+PERPLIXITY!E6+DEEPSEEK!E6)/4</f>
        <v>3340.25</v>
      </c>
      <c r="M6" s="21">
        <f>(F6+CHATGPT!F6+PERPLIXITY!F6+DEEPSEEK!F6)/4</f>
        <v>4231.75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90</v>
      </c>
      <c r="E7" s="16">
        <v>3700</v>
      </c>
      <c r="F7" s="16">
        <v>4200</v>
      </c>
      <c r="G7" s="18"/>
      <c r="I7" s="13">
        <f>'התיק העדכני'!I7</f>
        <v>3885</v>
      </c>
      <c r="J7" s="26"/>
      <c r="L7" s="21">
        <f>(E7+CHATGPT!E7+PERPLIXITY!E7+DEEPSEEK!E7)/4</f>
        <v>3603.25</v>
      </c>
      <c r="M7" s="21">
        <f>(F7+CHATGPT!F7+PERPLIXITY!F7+DEEPSEEK!F7)/4</f>
        <v>4253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37875</v>
      </c>
      <c r="F8" s="16">
        <v>42000</v>
      </c>
      <c r="G8" s="18"/>
      <c r="I8" s="13">
        <f>'התיק העדכני'!I8</f>
        <v>42250</v>
      </c>
      <c r="L8" s="21">
        <f>(E8+CHATGPT!E8+PERPLIXITY!E8+DEEPSEEK!E8)/4</f>
        <v>36536.25</v>
      </c>
      <c r="M8" s="21">
        <f>(F8+CHATGPT!F8+PERPLIXITY!F8+DEEPSEEK!F8)/4</f>
        <v>42975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9700</v>
      </c>
      <c r="F9" s="16">
        <v>11000</v>
      </c>
      <c r="G9" s="17"/>
      <c r="I9" s="13">
        <f>'התיק העדכני'!I9</f>
        <v>9917</v>
      </c>
      <c r="L9" s="21">
        <f>(E9+CHATGPT!E9+PERPLIXITY!E9+DEEPSEEK!E9)/4</f>
        <v>9327.5</v>
      </c>
      <c r="M9" s="21">
        <f>(F9+CHATGPT!F9+PERPLIXITY!F9+DEEPSEEK!F9)/4</f>
        <v>11459.25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5800</v>
      </c>
      <c r="G10" s="18"/>
      <c r="I10" s="13">
        <f>'התיק העדכני'!I10</f>
        <v>4930</v>
      </c>
      <c r="L10" s="21">
        <f>(E10+CHATGPT!E10+PERPLIXITY!E10+DEEPSEEK!E10)/4</f>
        <v>4968.75</v>
      </c>
      <c r="M10" s="21">
        <f>(F10+CHATGPT!F10+PERPLIXITY!F10+DEEPSEEK!F10)/4</f>
        <v>6041.5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905</v>
      </c>
      <c r="F11" s="16">
        <v>1050</v>
      </c>
      <c r="G11" s="18"/>
      <c r="I11" s="13">
        <f>'התיק העדכני'!I11</f>
        <v>1003</v>
      </c>
      <c r="L11" s="21">
        <f>(E11+CHATGPT!E11+PERPLIXITY!E11+DEEPSEEK!E11)/4</f>
        <v>863.5</v>
      </c>
      <c r="M11" s="21">
        <f>(F11+CHATGPT!F11+PERPLIXITY!F11+DEEPSEEK!F11)/4</f>
        <v>1085.5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23800</v>
      </c>
      <c r="F12" s="16">
        <v>27000</v>
      </c>
      <c r="G12" s="18"/>
      <c r="I12" s="13">
        <f>'התיק העדכני'!I12</f>
        <v>26620</v>
      </c>
      <c r="J12" s="26"/>
      <c r="L12" s="21">
        <f>(E12+CHATGPT!E12+PERPLIXITY!E12+DEEPSEEK!E12)/4</f>
        <v>22573</v>
      </c>
      <c r="M12" s="21">
        <f>(F12+CHATGPT!F12+PERPLIXITY!F12+DEEPSEEK!F12)/4</f>
        <v>27485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100</v>
      </c>
      <c r="E13" s="16"/>
      <c r="F13" s="16"/>
      <c r="G13" s="18"/>
      <c r="I13" s="13">
        <f>'התיק העדכני'!I13</f>
        <v>830.1</v>
      </c>
      <c r="J13" s="26"/>
      <c r="L13" s="21"/>
      <c r="M13" s="21"/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8400</v>
      </c>
      <c r="G14" s="17"/>
      <c r="I14" s="13">
        <f>'התיק העדכני'!I14</f>
        <v>7722</v>
      </c>
      <c r="J14" s="26"/>
      <c r="L14" s="21">
        <f>(E14+CHATGPT!E14+PERPLIXITY!E14+DEEPSEEK!E14)/4</f>
        <v>7260.5</v>
      </c>
      <c r="M14" s="21">
        <f>(F14+CHATGPT!F14+PERPLIXITY!F14+DEEPSEEK!F14)/4</f>
        <v>8564.5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12200</v>
      </c>
      <c r="F15" s="16">
        <v>14000</v>
      </c>
      <c r="G15" s="17"/>
      <c r="I15" s="13">
        <f>'התיק העדכני'!I15</f>
        <v>13765.62</v>
      </c>
      <c r="J15" s="26"/>
      <c r="L15" s="21">
        <f>(E15+CHATGPT!E15+PERPLIXITY!E15+DEEPSEEK!E15)/4</f>
        <v>11369.25</v>
      </c>
      <c r="M15" s="21">
        <f>(F15+CHATGPT!F15+PERPLIXITY!F15+DEEPSEEK!F15)/4</f>
        <v>14031.25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205</v>
      </c>
      <c r="F16" s="16">
        <v>240</v>
      </c>
      <c r="G16" s="17"/>
      <c r="I16" s="13">
        <f>'התיק העדכני'!I16</f>
        <v>216.78</v>
      </c>
      <c r="J16" s="26"/>
      <c r="L16" s="21">
        <f>(E16+CHATGPT!E16+PERPLIXITY!E16+DEEPSEEK!E16)/4</f>
        <v>186.25</v>
      </c>
      <c r="M16" s="21">
        <f>(F16+CHATGPT!F16+PERPLIXITY!F16+DEEPSEEK!F16)/4</f>
        <v>234.5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168</v>
      </c>
      <c r="F17" s="16">
        <v>195</v>
      </c>
      <c r="G17" s="17"/>
      <c r="I17" s="13">
        <f>'התיק העדכני'!I17</f>
        <v>182.59</v>
      </c>
      <c r="J17" s="26"/>
      <c r="L17" s="21">
        <f>(E17+CHATGPT!E17+PERPLIXITY!E17+DEEPSEEK!E17)/4</f>
        <v>161.5</v>
      </c>
      <c r="M17" s="21">
        <f>(F17+CHATGPT!F17+PERPLIXITY!F17+DEEPSEEK!F17)/4</f>
        <v>201.25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1580</v>
      </c>
      <c r="F18" s="16">
        <v>1850</v>
      </c>
      <c r="G18" s="18"/>
      <c r="I18" s="13">
        <f>'התיק העדכני'!I18</f>
        <v>1740</v>
      </c>
      <c r="L18" s="21">
        <f>(E18+CHATGPT!E18+PERPLIXITY!E18+DEEPSEEK!E18)/4</f>
        <v>1455.5</v>
      </c>
      <c r="M18" s="21">
        <f>(F18+CHATGPT!F18+PERPLIXITY!F18+DEEPSEEK!F18)/4</f>
        <v>1863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1144807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3159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A12" sqref="A12:D1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/>
      <c r="F2" s="17"/>
      <c r="G2" s="17"/>
      <c r="I2" s="13">
        <f>'התיק העדכני'!I2</f>
        <v>10700</v>
      </c>
      <c r="L2" s="32"/>
      <c r="M2" s="32"/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55</v>
      </c>
      <c r="E3" s="16">
        <v>848</v>
      </c>
      <c r="F3" s="16">
        <v>1170</v>
      </c>
      <c r="G3" s="7"/>
      <c r="I3" s="13">
        <f>'התיק העדכני'!I3</f>
        <v>1316</v>
      </c>
      <c r="L3" s="21">
        <f>(E3+GEMINI!E3+PERPLIXITY!E3+DEEPSEEK!E3)/4</f>
        <v>962</v>
      </c>
      <c r="M3" s="21">
        <f>(F3+GEMINI!F3+PERPLIXITY!F3+DEEPSEEK!F3)/4</f>
        <v>1273.75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5059</v>
      </c>
      <c r="F4" s="16">
        <v>6806</v>
      </c>
      <c r="G4" s="7"/>
      <c r="I4" s="13">
        <f>'התיק העדכני'!I4</f>
        <v>6060</v>
      </c>
      <c r="L4" s="21">
        <f>(E4+GEMINI!E4+PERPLIXITY!E4+DEEPSEEK!E4)/4</f>
        <v>5621</v>
      </c>
      <c r="M4" s="21">
        <f>(F4+GEMINI!F4+PERPLIXITY!F4+DEEPSEEK!F4)/4</f>
        <v>6701.5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525.71</v>
      </c>
      <c r="D5" s="19">
        <f>'התיק העדכני'!G5</f>
        <v>0</v>
      </c>
      <c r="E5" s="16">
        <v>454</v>
      </c>
      <c r="F5" s="16">
        <v>633</v>
      </c>
      <c r="G5" s="7"/>
      <c r="I5" s="13">
        <f>'התיק העדכני'!I5</f>
        <v>595.4</v>
      </c>
      <c r="L5" s="21">
        <f>(E5+GEMINI!E5+PERPLIXITY!E5+DEEPSEEK!E5)/4</f>
        <v>601</v>
      </c>
      <c r="M5" s="21">
        <f>(F5+GEMINI!F5+PERPLIXITY!F5+DEEPSEEK!F5)/4</f>
        <v>772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3311</v>
      </c>
      <c r="F6" s="16">
        <v>4377</v>
      </c>
      <c r="G6" s="7"/>
      <c r="I6" s="13">
        <f>'התיק העדכני'!I6</f>
        <v>3931</v>
      </c>
      <c r="L6" s="21">
        <f>(E6+GEMINI!E6+PERPLIXITY!E6+DEEPSEEK!E6)/4</f>
        <v>3340.25</v>
      </c>
      <c r="M6" s="21">
        <f>(F6+GEMINI!F6+PERPLIXITY!F6+DEEPSEEK!F6)/4</f>
        <v>4231.75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90</v>
      </c>
      <c r="E7" s="16">
        <v>3363</v>
      </c>
      <c r="F7" s="16">
        <v>4312</v>
      </c>
      <c r="G7" s="8"/>
      <c r="I7" s="13">
        <f>'התיק העדכני'!I7</f>
        <v>3885</v>
      </c>
      <c r="L7" s="21">
        <f>(E7+GEMINI!E7+PERPLIXITY!E7+DEEPSEEK!E7)/4</f>
        <v>3603.25</v>
      </c>
      <c r="M7" s="21">
        <f>(F7+GEMINI!F7+PERPLIXITY!F7+DEEPSEEK!F7)/4</f>
        <v>4253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34770</v>
      </c>
      <c r="F8" s="16">
        <v>44400</v>
      </c>
      <c r="G8" s="8"/>
      <c r="I8" s="13">
        <f>'התיק העדכני'!I8</f>
        <v>42250</v>
      </c>
      <c r="L8" s="21">
        <f>(E8+GEMINI!E8+PERPLIXITY!E8+DEEPSEEK!E8)/4</f>
        <v>36536.25</v>
      </c>
      <c r="M8" s="21">
        <f>(F8+GEMINI!F8+PERPLIXITY!F8+DEEPSEEK!F8)/4</f>
        <v>42975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8610</v>
      </c>
      <c r="F9" s="16">
        <v>11837</v>
      </c>
      <c r="G9" s="8"/>
      <c r="I9" s="13">
        <f>'התיק העדכני'!I9</f>
        <v>9917</v>
      </c>
      <c r="L9" s="21">
        <f>(E9+GEMINI!E9+PERPLIXITY!E9+DEEPSEEK!E9)/4</f>
        <v>9327.5</v>
      </c>
      <c r="M9" s="21">
        <f>(F9+GEMINI!F9+PERPLIXITY!F9+DEEPSEEK!F9)/4</f>
        <v>11459.25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4930</v>
      </c>
      <c r="L10" s="21">
        <f>(E10+GEMINI!E10+PERPLIXITY!E10+DEEPSEEK!E10)/4</f>
        <v>4968.75</v>
      </c>
      <c r="M10" s="21">
        <f>(F10+GEMINI!F10+PERPLIXITY!F10+DEEPSEEK!F10)/4</f>
        <v>6041.5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729</v>
      </c>
      <c r="F11" s="16">
        <v>992</v>
      </c>
      <c r="G11" s="8"/>
      <c r="I11" s="13">
        <f>'התיק העדכני'!I11</f>
        <v>1003</v>
      </c>
      <c r="L11" s="21">
        <f>(E11+GEMINI!E11+PERPLIXITY!E11+DEEPSEEK!E11)/4</f>
        <v>863.5</v>
      </c>
      <c r="M11" s="21">
        <f>(F11+GEMINI!F11+PERPLIXITY!F11+DEEPSEEK!F11)/4</f>
        <v>1085.5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19992</v>
      </c>
      <c r="F12" s="16">
        <v>26940</v>
      </c>
      <c r="G12" s="8"/>
      <c r="I12" s="13">
        <f>'התיק העדכני'!I12</f>
        <v>26620</v>
      </c>
      <c r="L12" s="21">
        <f>(E12+GEMINI!E12+PERPLIXITY!E12+DEEPSEEK!E12)/4</f>
        <v>22573</v>
      </c>
      <c r="M12" s="21">
        <f>(F12+GEMINI!F12+PERPLIXITY!F12+DEEPSEEK!F12)/4</f>
        <v>27485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100</v>
      </c>
      <c r="E13" s="16"/>
      <c r="F13" s="16"/>
      <c r="G13" s="8"/>
      <c r="I13" s="13">
        <f>'התיק העדכני'!I13</f>
        <v>830.1</v>
      </c>
      <c r="L13" s="21"/>
      <c r="M13" s="21"/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6642</v>
      </c>
      <c r="F14" s="16">
        <v>8258</v>
      </c>
      <c r="G14" s="7"/>
      <c r="I14" s="13">
        <f>'התיק העדכני'!I14</f>
        <v>7722</v>
      </c>
      <c r="L14" s="21">
        <f>(E14+GEMINI!E14+PERPLIXITY!E14+DEEPSEEK!E14)/4</f>
        <v>7260.5</v>
      </c>
      <c r="M14" s="21">
        <f>(F14+GEMINI!F14+PERPLIXITY!F14+DEEPSEEK!F14)/4</f>
        <v>8564.5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10477</v>
      </c>
      <c r="F15" s="16">
        <v>13925</v>
      </c>
      <c r="G15" s="7"/>
      <c r="I15" s="13">
        <f>'התיק העדכני'!I20</f>
        <v>3159</v>
      </c>
      <c r="L15" s="21">
        <f>(E15+GEMINI!E15+PERPLIXITY!E15+DEEPSEEK!E15)/4</f>
        <v>11369.25</v>
      </c>
      <c r="M15" s="21">
        <f>(F15+GEMINI!F15+PERPLIXITY!F15+DEEPSEEK!F15)/4</f>
        <v>14031.25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165</v>
      </c>
      <c r="F16" s="16">
        <v>223</v>
      </c>
      <c r="G16" s="7"/>
      <c r="I16" s="13">
        <f>'התיק העדכני'!I15</f>
        <v>13765.62</v>
      </c>
      <c r="L16" s="21">
        <f>(E16+GEMINI!E16+PERPLIXITY!E16+DEEPSEEK!E16)/4</f>
        <v>186.25</v>
      </c>
      <c r="M16" s="21">
        <f>(F16+GEMINI!F16+PERPLIXITY!F16+DEEPSEEK!F16)/4</f>
        <v>234.5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154</v>
      </c>
      <c r="F17" s="16">
        <v>210</v>
      </c>
      <c r="G17" s="7"/>
      <c r="I17" s="13">
        <f>'התיק העדכני'!I16</f>
        <v>216.78</v>
      </c>
      <c r="L17" s="21">
        <f>(E17+GEMINI!E17+PERPLIXITY!E17+DEEPSEEK!E17)/4</f>
        <v>161.5</v>
      </c>
      <c r="M17" s="21">
        <f>(F17+GEMINI!F17+PERPLIXITY!F17+DEEPSEEK!F17)/4</f>
        <v>201.25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1342</v>
      </c>
      <c r="F18" s="16">
        <v>1852</v>
      </c>
      <c r="G18" s="8"/>
      <c r="I18" s="13">
        <f>'התיק העדכני'!I17</f>
        <v>182.59</v>
      </c>
      <c r="L18" s="21">
        <f>(E18+GEMINI!E18+PERPLIXITY!E18+DEEPSEEK!E18)/4</f>
        <v>1455.5</v>
      </c>
      <c r="M18" s="21">
        <f>(F18+GEMINI!F18+PERPLIXITY!F18+DEEPSEEK!F18)/4</f>
        <v>1863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8"/>
      <c r="I19" s="13">
        <f>'התיק העדכני'!I18</f>
        <v>1740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A12" sqref="A12:D13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11500</v>
      </c>
      <c r="G2" s="17"/>
      <c r="I2" s="13">
        <f>'התיק העדכני'!I2</f>
        <v>10700</v>
      </c>
      <c r="L2" s="32"/>
      <c r="M2" s="32"/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55</v>
      </c>
      <c r="E3" s="16">
        <v>1050</v>
      </c>
      <c r="F3" s="16">
        <v>1375</v>
      </c>
      <c r="G3" s="10"/>
      <c r="I3" s="13">
        <f>'התיק העדכני'!I3</f>
        <v>1316</v>
      </c>
      <c r="L3" s="21">
        <f>(E3+CHATGPT!E3+GEMINI!E3+DEEPSEEK!E3)/4</f>
        <v>962</v>
      </c>
      <c r="M3" s="21">
        <f>(F3+CHATGPT!F3+GEMINI!F3+DEEPSEEK!F3)/4</f>
        <v>1273.75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5700</v>
      </c>
      <c r="F4" s="16">
        <v>6700</v>
      </c>
      <c r="G4" s="10"/>
      <c r="I4" s="13">
        <f>'התיק העדכני'!I4</f>
        <v>6060</v>
      </c>
      <c r="L4" s="21">
        <f>(E4+CHATGPT!E4+GEMINI!E4+DEEPSEEK!E4)/4</f>
        <v>5621</v>
      </c>
      <c r="M4" s="21">
        <f>(F4+CHATGPT!F4+GEMINI!F4+DEEPSEEK!F4)/4</f>
        <v>6701.5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525.71</v>
      </c>
      <c r="D5" s="19">
        <f>'התיק העדכני'!G5</f>
        <v>0</v>
      </c>
      <c r="E5" s="16">
        <v>650</v>
      </c>
      <c r="F5" s="16">
        <v>805</v>
      </c>
      <c r="G5" s="10"/>
      <c r="I5" s="13">
        <f>'התיק העדכני'!I5</f>
        <v>595.4</v>
      </c>
      <c r="L5" s="21">
        <f>(E5+CHATGPT!E5+GEMINI!E5+DEEPSEEK!E5)/4</f>
        <v>601</v>
      </c>
      <c r="M5" s="21">
        <f>(F5+CHATGPT!F5+GEMINI!F5+DEEPSEEK!F5)/4</f>
        <v>772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4050</v>
      </c>
      <c r="G6" s="10"/>
      <c r="I6" s="13">
        <f>'התיק העדכני'!I6</f>
        <v>3931</v>
      </c>
      <c r="L6" s="21">
        <f>(E6+CHATGPT!E6+GEMINI!E6+DEEPSEEK!E6)/4</f>
        <v>3340.25</v>
      </c>
      <c r="M6" s="21">
        <f>(F6+CHATGPT!F6+GEMINI!F6+DEEPSEEK!F6)/4</f>
        <v>4231.75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90</v>
      </c>
      <c r="E7" s="16">
        <v>3600</v>
      </c>
      <c r="F7" s="16">
        <v>4200</v>
      </c>
      <c r="G7" s="10"/>
      <c r="I7" s="13">
        <f>'התיק העדכני'!I7</f>
        <v>3885</v>
      </c>
      <c r="L7" s="21">
        <f>(E7+CHATGPT!E7+GEMINI!E7+DEEPSEEK!E7)/4</f>
        <v>3603.25</v>
      </c>
      <c r="M7" s="21">
        <f>(F7+CHATGPT!F7+GEMINI!F7+DEEPSEEK!F7)/4</f>
        <v>4253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36500</v>
      </c>
      <c r="F8" s="16">
        <v>42000</v>
      </c>
      <c r="I8" s="13">
        <f>'התיק העדכני'!I8</f>
        <v>42250</v>
      </c>
      <c r="L8" s="21">
        <f>(E8+CHATGPT!E8+GEMINI!E8+DEEPSEEK!E8)/4</f>
        <v>36536.25</v>
      </c>
      <c r="M8" s="21">
        <f>(F8+CHATGPT!F8+GEMINI!F8+DEEPSEEK!F8)/4</f>
        <v>42975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9500</v>
      </c>
      <c r="F9" s="16">
        <v>11500</v>
      </c>
      <c r="I9" s="13">
        <f>'התיק העדכני'!I9</f>
        <v>9917</v>
      </c>
      <c r="L9" s="21">
        <f>(E9+CHATGPT!E9+GEMINI!E9+DEEPSEEK!E9)/4</f>
        <v>9327.5</v>
      </c>
      <c r="M9" s="21">
        <f>(F9+CHATGPT!F9+GEMINI!F9+DEEPSEEK!F9)/4</f>
        <v>11459.25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4930</v>
      </c>
      <c r="L10" s="21">
        <f>(E10+CHATGPT!E10+GEMINI!E10+DEEPSEEK!E10)/4</f>
        <v>4968.75</v>
      </c>
      <c r="M10" s="21">
        <f>(F10+CHATGPT!F10+GEMINI!F10+DEEPSEEK!F10)/4</f>
        <v>6041.5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920</v>
      </c>
      <c r="F11" s="16">
        <v>1150</v>
      </c>
      <c r="I11" s="13">
        <f>'התיק העדכני'!I11</f>
        <v>1003</v>
      </c>
      <c r="L11" s="21">
        <f>(E11+CHATGPT!E11+GEMINI!E11+DEEPSEEK!E11)/4</f>
        <v>863.5</v>
      </c>
      <c r="M11" s="21">
        <f>(F11+CHATGPT!F11+GEMINI!F11+DEEPSEEK!F11)/4</f>
        <v>1085.5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23500</v>
      </c>
      <c r="F12" s="16">
        <v>28000</v>
      </c>
      <c r="G12" s="10"/>
      <c r="I12" s="13">
        <f>'התיק העדכני'!I12</f>
        <v>26620</v>
      </c>
      <c r="L12" s="21">
        <f>(E12+CHATGPT!E12+GEMINI!E12+DEEPSEEK!E12)/4</f>
        <v>22573</v>
      </c>
      <c r="M12" s="21">
        <f>(F12+CHATGPT!F12+GEMINI!F12+DEEPSEEK!F12)/4</f>
        <v>27485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100</v>
      </c>
      <c r="E13" s="16">
        <v>690</v>
      </c>
      <c r="F13" s="16">
        <v>780</v>
      </c>
      <c r="G13" s="10"/>
      <c r="I13" s="13">
        <f>'התיק העדכני'!I13</f>
        <v>830.1</v>
      </c>
      <c r="L13" s="21"/>
      <c r="M13" s="21"/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8600</v>
      </c>
      <c r="G14" s="10"/>
      <c r="I14" s="13">
        <f>'התיק העדכני'!I14</f>
        <v>7722</v>
      </c>
      <c r="L14" s="21">
        <f>(E14+CHATGPT!E14+GEMINI!E14+DEEPSEEK!E14)/4</f>
        <v>7260.5</v>
      </c>
      <c r="M14" s="21">
        <f>(F14+CHATGPT!F14+GEMINI!F14+DEEPSEEK!F14)/4</f>
        <v>8564.5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10800</v>
      </c>
      <c r="F15" s="16">
        <v>13700</v>
      </c>
      <c r="G15" s="10"/>
      <c r="I15" s="13">
        <f>'התיק העדכני'!I15</f>
        <v>13765.62</v>
      </c>
      <c r="L15" s="21">
        <f>(E15+CHATGPT!E15+GEMINI!E15+DEEPSEEK!E15)/4</f>
        <v>11369.25</v>
      </c>
      <c r="M15" s="21">
        <f>(F15+CHATGPT!F15+GEMINI!F15+DEEPSEEK!F15)/4</f>
        <v>14031.25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165</v>
      </c>
      <c r="F16" s="16">
        <v>225</v>
      </c>
      <c r="G16" s="10"/>
      <c r="I16" s="13">
        <f>'התיק העדכני'!I16</f>
        <v>216.78</v>
      </c>
      <c r="L16" s="21">
        <f>(E16+CHATGPT!E16+GEMINI!E16+DEEPSEEK!E16)/4</f>
        <v>186.25</v>
      </c>
      <c r="M16" s="21">
        <f>(F16+CHATGPT!F16+GEMINI!F16+DEEPSEEK!F16)/4</f>
        <v>234.5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154</v>
      </c>
      <c r="F17" s="16">
        <v>200</v>
      </c>
      <c r="G17" s="10"/>
      <c r="I17" s="13">
        <f>'התיק העדכני'!I17</f>
        <v>182.59</v>
      </c>
      <c r="L17" s="21">
        <f>(E17+CHATGPT!E17+GEMINI!E17+DEEPSEEK!E17)/4</f>
        <v>161.5</v>
      </c>
      <c r="M17" s="21">
        <f>(F17+CHATGPT!F17+GEMINI!F17+DEEPSEEK!F17)/4</f>
        <v>201.25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1350</v>
      </c>
      <c r="F18" s="16">
        <v>1850</v>
      </c>
      <c r="I18" s="13">
        <f>'התיק העדכני'!I18</f>
        <v>1740</v>
      </c>
      <c r="L18" s="21">
        <f>(E18+CHATGPT!E18+GEMINI!E18+DEEPSEEK!E18)/4</f>
        <v>1455.5</v>
      </c>
      <c r="M18" s="21">
        <f>(F18+CHATGPT!F18+GEMINI!F18+DEEPSEEK!F18)/4</f>
        <v>1863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A12" sqref="A12:D1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/>
      <c r="F2" s="17"/>
      <c r="G2" s="17"/>
      <c r="I2" s="13">
        <f>'התיק העדכני'!I2</f>
        <v>10700</v>
      </c>
      <c r="L2" s="32"/>
      <c r="M2" s="32"/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55</v>
      </c>
      <c r="E3" s="16">
        <v>1000</v>
      </c>
      <c r="F3" s="16">
        <v>1350</v>
      </c>
      <c r="G3" s="31"/>
      <c r="I3" s="13">
        <f>'התיק העדכני'!I3</f>
        <v>1316</v>
      </c>
      <c r="L3" s="21">
        <f>(E3+CHATGPT!E3+PERPLIXITY!E3+GEMINI!E3)/4</f>
        <v>962</v>
      </c>
      <c r="M3" s="21">
        <f>(F3+CHATGPT!F3+PERPLIXITY!F3+GEMINI!F3)/4</f>
        <v>1273.75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5800</v>
      </c>
      <c r="F4" s="16">
        <v>6700</v>
      </c>
      <c r="I4" s="13">
        <f>'התיק העדכני'!I4</f>
        <v>6060</v>
      </c>
      <c r="L4" s="21">
        <f>(E4+CHATGPT!E4+PERPLIXITY!E4+GEMINI!E4)/4</f>
        <v>5621</v>
      </c>
      <c r="M4" s="21">
        <f>(F4+CHATGPT!F4+PERPLIXITY!F4+GEMINI!F4)/4</f>
        <v>6701.5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525.71</v>
      </c>
      <c r="D5" s="19">
        <f>'התיק העדכני'!G5</f>
        <v>0</v>
      </c>
      <c r="E5" s="16">
        <v>650</v>
      </c>
      <c r="F5" s="16">
        <v>850</v>
      </c>
      <c r="G5" s="31"/>
      <c r="I5" s="13">
        <f>'התיק העדכני'!I5</f>
        <v>595.4</v>
      </c>
      <c r="L5" s="21">
        <f>(E5+CHATGPT!E5+PERPLIXITY!E5+GEMINI!E5)/4</f>
        <v>601</v>
      </c>
      <c r="M5" s="21">
        <f>(F5+CHATGPT!F5+PERPLIXITY!F5+GEMINI!F5)/4</f>
        <v>772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3450</v>
      </c>
      <c r="F6" s="16">
        <v>4100</v>
      </c>
      <c r="G6" s="31"/>
      <c r="I6" s="13">
        <f>'התיק העדכני'!I6</f>
        <v>3931</v>
      </c>
      <c r="L6" s="21">
        <f>(E6+CHATGPT!E6+PERPLIXITY!E6+GEMINI!E6)/4</f>
        <v>3340.25</v>
      </c>
      <c r="M6" s="21">
        <f>(F6+CHATGPT!F6+PERPLIXITY!F6+GEMINI!F6)/4</f>
        <v>4231.75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90</v>
      </c>
      <c r="E7" s="16">
        <v>3750</v>
      </c>
      <c r="F7" s="16">
        <v>4300</v>
      </c>
      <c r="I7" s="13">
        <f>'התיק העדכני'!I7</f>
        <v>3885</v>
      </c>
      <c r="L7" s="21">
        <f>(E7+CHATGPT!E7+PERPLIXITY!E7+GEMINI!E7)/4</f>
        <v>3603.25</v>
      </c>
      <c r="M7" s="21">
        <f>(F7+CHATGPT!F7+PERPLIXITY!F7+GEMINI!F7)/4</f>
        <v>4253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37000</v>
      </c>
      <c r="F8" s="16">
        <v>43500</v>
      </c>
      <c r="G8" s="31"/>
      <c r="I8" s="13">
        <f>'התיק העדכני'!I8</f>
        <v>42250</v>
      </c>
      <c r="L8" s="21">
        <f>(E8+CHATGPT!E8+PERPLIXITY!E8+GEMINI!E8)/4</f>
        <v>36536.25</v>
      </c>
      <c r="M8" s="21">
        <f>(F8+CHATGPT!F8+PERPLIXITY!F8+GEMINI!F8)/4</f>
        <v>42975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9500</v>
      </c>
      <c r="F9" s="16">
        <v>11500</v>
      </c>
      <c r="G9" s="31"/>
      <c r="I9" s="13">
        <f>'התיק העדכני'!I9</f>
        <v>9917</v>
      </c>
      <c r="L9" s="21">
        <f>(E9+CHATGPT!E9+PERPLIXITY!E9+GEMINI!E9)/4</f>
        <v>9327.5</v>
      </c>
      <c r="M9" s="21">
        <f>(F9+CHATGPT!F9+PERPLIXITY!F9+GEMINI!F9)/4</f>
        <v>11459.25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4930</v>
      </c>
      <c r="L10" s="21">
        <f>(E10+CHATGPT!E10+PERPLIXITY!E10+GEMINI!E10)/4</f>
        <v>4968.75</v>
      </c>
      <c r="M10" s="21">
        <f>(F10+CHATGPT!F10+PERPLIXITY!F10+GEMINI!F10)/4</f>
        <v>6041.5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900</v>
      </c>
      <c r="F11" s="16">
        <v>1150</v>
      </c>
      <c r="G11" s="31"/>
      <c r="I11" s="13">
        <f>'התיק העדכני'!I11</f>
        <v>1003</v>
      </c>
      <c r="L11" s="21">
        <f>(E11+CHATGPT!E11+PERPLIXITY!E11+GEMINI!E11)/4</f>
        <v>863.5</v>
      </c>
      <c r="M11" s="21">
        <f>(F11+CHATGPT!F11+PERPLIXITY!F11+GEMINI!F11)/4</f>
        <v>1085.5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23000</v>
      </c>
      <c r="F12" s="16">
        <v>28000</v>
      </c>
      <c r="G12" s="31"/>
      <c r="I12" s="13">
        <f>'התיק העדכני'!I12</f>
        <v>26620</v>
      </c>
      <c r="L12" s="21">
        <f>(E12+CHATGPT!E12+PERPLIXITY!E12+GEMINI!E12)/4</f>
        <v>22573</v>
      </c>
      <c r="M12" s="21">
        <f>(F12+CHATGPT!F12+PERPLIXITY!F12+GEMINI!F12)/4</f>
        <v>27485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100</v>
      </c>
      <c r="E13" s="16"/>
      <c r="F13" s="16"/>
      <c r="G13" s="31"/>
      <c r="I13" s="13">
        <f>'התיק העדכני'!I13</f>
        <v>830.1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9000</v>
      </c>
      <c r="G14" s="31"/>
      <c r="I14" s="13">
        <f>'התיק העדכני'!I14</f>
        <v>7722</v>
      </c>
      <c r="L14" s="21">
        <f>(E14+CHATGPT!E14+PERPLIXITY!E14+GEMINI!E14)/4</f>
        <v>7260.5</v>
      </c>
      <c r="M14" s="21">
        <f>(F14+CHATGPT!F14+PERPLIXITY!F14+GEMINI!F14)/4</f>
        <v>8564.5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12000</v>
      </c>
      <c r="F15" s="16">
        <v>14500</v>
      </c>
      <c r="I15" s="13">
        <f>'התיק העדכני'!I20</f>
        <v>3159</v>
      </c>
      <c r="L15" s="21">
        <f>(E15+CHATGPT!E15+PERPLIXITY!E15+GEMINI!E15)/4</f>
        <v>11369.25</v>
      </c>
      <c r="M15" s="21">
        <f>(F15+CHATGPT!F15+PERPLIXITY!F15+GEMINI!F15)/4</f>
        <v>14031.25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210</v>
      </c>
      <c r="F16" s="16">
        <v>250</v>
      </c>
      <c r="I16" s="13">
        <f>'התיק העדכני'!I15</f>
        <v>13765.62</v>
      </c>
      <c r="L16" s="21">
        <f>(E16+CHATGPT!E16+PERPLIXITY!E16+GEMINI!E16)/4</f>
        <v>186.25</v>
      </c>
      <c r="M16" s="21">
        <f>(F16+CHATGPT!F16+PERPLIXITY!F16+GEMINI!F16)/4</f>
        <v>234.5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200</v>
      </c>
      <c r="G17" s="31"/>
      <c r="I17" s="13">
        <f>'התיק העדכני'!I16</f>
        <v>216.78</v>
      </c>
      <c r="L17" s="21">
        <f>(E17+CHATGPT!E17+PERPLIXITY!E17+GEMINI!E17)/4</f>
        <v>161.5</v>
      </c>
      <c r="M17" s="21">
        <f>(F17+CHATGPT!F17+PERPLIXITY!F17+GEMINI!F17)/4</f>
        <v>201.25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1550</v>
      </c>
      <c r="F18" s="16">
        <v>1900</v>
      </c>
      <c r="G18" s="31"/>
      <c r="I18" s="13">
        <f>'התיק העדכני'!I17</f>
        <v>182.59</v>
      </c>
      <c r="L18" s="21">
        <f>(E18+CHATGPT!E18+PERPLIXITY!E18+GEMINI!E18)/4</f>
        <v>1455.5</v>
      </c>
      <c r="M18" s="21">
        <f>(F18+CHATGPT!F18+PERPLIXITY!F18+GEMINI!F18)/4</f>
        <v>1863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I19" s="13">
        <f>'התיק העדכני'!I18</f>
        <v>1740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5" customHeight="1" thickBot="1" x14ac:dyDescent="0.35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2026-01-22T12:52:26Z</dcterms:modified>
</cp:coreProperties>
</file>